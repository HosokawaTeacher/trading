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3aecef387f6e4612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Dashboard" sheetId="1" r:id="R027a6d97b7684f8a"/>
    <x:sheet xmlns:r="http://schemas.openxmlformats.org/officeDocument/2006/relationships" name="5 Models" sheetId="2" r:id="R99799a2d7fd54131"/>
    <x:sheet xmlns:r="http://schemas.openxmlformats.org/officeDocument/2006/relationships" name="ステップ2_ルール検証" sheetId="3" r:id="R524dee4f20704a14"/>
    <x:sheet xmlns:r="http://schemas.openxmlformats.org/officeDocument/2006/relationships" name="Capital Plan" sheetId="4" r:id="R6e1b7dc2d5554f99"/>
    <x:sheet xmlns:r="http://schemas.openxmlformats.org/officeDocument/2006/relationships" name="Watchlist" sheetId="5" r:id="Re03761ebe98a4df2"/>
    <x:sheet xmlns:r="http://schemas.openxmlformats.org/officeDocument/2006/relationships" name="Trade Log" sheetId="6" r:id="R953de000cc504bc5"/>
    <x:sheet xmlns:r="http://schemas.openxmlformats.org/officeDocument/2006/relationships" name="Weekly Review" sheetId="7" r:id="R9a7ccdbc61d04729"/>
    <x:sheet xmlns:r="http://schemas.openxmlformats.org/officeDocument/2006/relationships" name="Candidate Selection" sheetId="8" r:id="Rc09adfae3c354b84"/>
    <x:sheet xmlns:r="http://schemas.openxmlformats.org/officeDocument/2006/relationships" name="Search Template" sheetId="9" r:id="Ref24464ac2594b84"/>
    <x:sheet xmlns:r="http://schemas.openxmlformats.org/officeDocument/2006/relationships" name="AI Prompts" sheetId="10" r:id="Rfe084faa0c524e26"/>
    <x:sheet xmlns:r="http://schemas.openxmlformats.org/officeDocument/2006/relationships" name="Rules" sheetId="11" r:id="Red7a60ff8bbf4bd6"/>
    <x:sheet xmlns:r="http://schemas.openxmlformats.org/officeDocument/2006/relationships" name="Checks" sheetId="12" r:id="R341e71adb05b410b"/>
    <x:sheet xmlns:r="http://schemas.openxmlformats.org/officeDocument/2006/relationships" name="前進検証_v1" sheetId="13" r:id="R7fac854899384e8c"/>
    <x:sheet xmlns:r="http://schemas.openxmlformats.org/officeDocument/2006/relationships" name="過去検証_v1" sheetId="14" r:id="R60f9b2b870d04b3d"/>
    <x:sheet xmlns:r="http://schemas.openxmlformats.org/officeDocument/2006/relationships" name="実運用比較_v1" sheetId="15" r:id="Re41b78904946402d"/>
    <x:sheet xmlns:r="http://schemas.openxmlformats.org/officeDocument/2006/relationships" name="判定ルール_v1" sheetId="16" r:id="R91355fbb01e64c89"/>
  </x:sheets>
</x:workbook>
</file>

<file path=xl/sharedStrings.xml><?xml version="1.0" encoding="utf-8"?>
<x:sst xmlns:x="http://schemas.openxmlformats.org/spreadsheetml/2006/main">
  <x:si>
    <x:r>
      <x:rPr>
        <x:b/>
        <x:sz val="10"/>
        <x:color rgb="FFFFFFFF"/>
        <x:rFont val="Aptos"/>
      </x:rPr>
      <x:t xml:space="preserve">5</x:t>
    </x:r>
    <x:r>
      <x:rPr>
        <x:b/>
        <x:sz val="10"/>
        <x:color rgb="FFFFFFFF"/>
        <x:rFont val="Noto Sans CJK SC"/>
        <x:family val="2"/>
      </x:rPr>
      <x:t xml:space="preserve">モデル </x:t>
    </x:r>
    <x:r>
      <x:rPr>
        <x:b/>
        <x:sz val="10"/>
        <x:color rgb="FFFFFFFF"/>
        <x:rFont val="Aptos"/>
      </x:rPr>
      <x:t xml:space="preserve">1</x:t>
    </x:r>
    <x:r>
      <x:rPr>
        <x:b/>
        <x:sz val="10"/>
        <x:color rgb="FFFFFFFF"/>
        <x:rFont val="Noto Sans CJK SC"/>
        <x:family val="2"/>
      </x:rPr>
      <x:t xml:space="preserve">ヶ月シミュレーション </x:t>
    </x:r>
    <x:r>
      <x:rPr>
        <x:b/>
        <x:sz val="10"/>
        <x:color rgb="FFFFFFFF"/>
        <x:rFont val="Aptos"/>
      </x:rPr>
      <x:t xml:space="preserve">Dashboard</x:t>
    </x:r>
  </x:si>
  <x:si>
    <x:t xml:space="preserve">開始日</x:t>
  </x:si>
  <x:si>
    <x:t xml:space="preserve">モデル別サマリー</x:t>
  </x:si>
  <x:si>
    <x:t xml:space="preserve">対象期間</x:t>
  </x:si>
  <x:si>
    <x:r>
      <x:rPr>
        <x:sz val="10"/>
        <x:rFont val="Aptos"/>
      </x:rPr>
      <x:t xml:space="preserve">4</x:t>
    </x:r>
    <x:r>
      <x:rPr>
        <x:sz val="10"/>
        <x:rFont val="Noto Sans CJK SC"/>
        <x:family val="2"/>
      </x:rPr>
      <x:t xml:space="preserve">週間</x:t>
    </x:r>
  </x:si>
  <x:si>
    <x:t xml:space="preserve">Model ID</x:t>
  </x:si>
  <x:si>
    <x:t xml:space="preserve">モデル名</x:t>
  </x:si>
  <x:si>
    <x:t xml:space="preserve">候補数</x:t>
  </x:si>
  <x:si>
    <x:t xml:space="preserve">完了数</x:t>
  </x:si>
  <x:si>
    <x:t xml:space="preserve">平均損益率</x:t>
  </x:si>
  <x:si>
    <x:t xml:space="preserve">勝率</x:t>
  </x:si>
  <x:si>
    <x:t xml:space="preserve">ルール逸脱</x:t>
  </x:si>
  <x:si>
    <x:t xml:space="preserve">状態</x:t>
  </x:si>
  <x:si>
    <x:t xml:space="preserve">コメント</x:t>
  </x:si>
  <x:si>
    <x:t xml:space="preserve">Model</x:t>
  </x:si>
  <x:si>
    <x:t xml:space="preserve">実売買</x:t>
  </x:si>
  <x:si>
    <x:t xml:space="preserve">なし（模擬運用）</x:t>
  </x:si>
  <x:si>
    <x:t xml:space="preserve">M1</x:t>
  </x:si>
  <x:si>
    <x:t xml:space="preserve">トレンドフォロー</x:t>
  </x:si>
  <x:si>
    <x:t xml:space="preserve">資金前提</x:t>
  </x:si>
  <x:si>
    <x:r>
      <x:rPr>
        <x:sz val="10"/>
        <x:rFont val="Aptos"/>
      </x:rPr>
      <x:t xml:space="preserve">100</x:t>
    </x:r>
    <x:r>
      <x:rPr>
        <x:sz val="10"/>
        <x:rFont val="Noto Sans CJK SC"/>
        <x:family val="2"/>
      </x:rPr>
      <x:t xml:space="preserve">万円。初回投入は約</x:t>
    </x:r>
    <x:r>
      <x:rPr>
        <x:sz val="10"/>
        <x:rFont val="Aptos"/>
      </x:rPr>
      <x:t xml:space="preserve">58</x:t>
    </x:r>
    <x:r>
      <x:rPr>
        <x:sz val="10"/>
        <x:rFont val="Noto Sans CJK SC"/>
        <x:family val="2"/>
      </x:rPr>
      <x:t xml:space="preserve">万円、約</x:t>
    </x:r>
    <x:r>
      <x:rPr>
        <x:sz val="10"/>
        <x:rFont val="Aptos"/>
      </x:rPr>
      <x:t xml:space="preserve">42</x:t>
    </x:r>
    <x:r>
      <x:rPr>
        <x:sz val="10"/>
        <x:rFont val="Noto Sans CJK SC"/>
        <x:family val="2"/>
      </x:rPr>
      <x:t xml:space="preserve">万円を温存</x:t>
    </x:r>
  </x:si>
  <x:si>
    <x:t xml:space="preserve">M2</x:t>
  </x:si>
  <x:si>
    <x:t xml:space="preserve">決算モメンタム</x:t>
  </x:si>
  <x:si>
    <x:t xml:space="preserve">最重要ルール</x:t>
  </x:si>
  <x:si>
    <x:t xml:space="preserve">上限一杯に投資せず、損切りとポジションサイズを先に決める</x:t>
  </x:si>
  <x:si>
    <x:t xml:space="preserve">M3</x:t>
  </x:si>
  <x:si>
    <x:r>
      <x:rPr>
        <x:sz val="10"/>
        <x:rFont val="Aptos"/>
      </x:rPr>
      <x:t xml:space="preserve">ETF</x:t>
    </x:r>
    <x:r>
      <x:rPr>
        <x:sz val="10"/>
        <x:rFont val="Noto Sans CJK SC"/>
        <x:family val="2"/>
      </x:rPr>
      <x:t xml:space="preserve">コア＋個別株サテライト</x:t>
    </x:r>
  </x:si>
  <x:si>
    <x:t xml:space="preserve">次の作業</x:t>
  </x:si>
  <x:si>
    <x:t xml:space="preserve">検索依頼時に最新データを取り、このチャット上で再シミュレーション</x:t>
  </x:si>
  <x:si>
    <x:t xml:space="preserve">M4</x:t>
  </x:si>
  <x:si>
    <x:t xml:space="preserve">ニュース確認型モメンタム</x:t>
  </x:si>
  <x:si>
    <x:t xml:space="preserve">M5</x:t>
  </x:si>
  <x:si>
    <x:t xml:space="preserve">リスク最小・高流動性リバランス</x:t>
  </x:si>
  <x:si>
    <x:t xml:space="preserve">現在の実行案</x:t>
  </x:si>
  <x:si>
    <x:t xml:space="preserve">初回候補</x:t>
  </x:si>
  <x:si>
    <x:r>
      <x:rPr>
        <x:sz val="10"/>
        <x:rFont val="Aptos"/>
      </x:rPr>
      <x:t xml:space="preserve">8306 </x:t>
    </x:r>
    <x:r>
      <x:rPr>
        <x:sz val="10"/>
        <x:rFont val="Noto Sans CJK SC"/>
        <x:family val="2"/>
      </x:rPr>
      <x:t xml:space="preserve">三菱</x:t>
    </x:r>
    <x:r>
      <x:rPr>
        <x:sz val="10"/>
        <x:rFont val="Aptos"/>
      </x:rPr>
      <x:t xml:space="preserve">UFJ FG</x:t>
    </x:r>
  </x:si>
  <x:si>
    <x:r>
      <x:rPr>
        <x:sz val="10"/>
        <x:rFont val="Aptos"/>
      </x:rPr>
      <x:t xml:space="preserve">100</x:t>
    </x:r>
    <x:r>
      <x:rPr>
        <x:sz val="10"/>
        <x:rFont val="Noto Sans CJK SC"/>
        <x:family val="2"/>
      </x:rPr>
      <x:t xml:space="preserve">株</x:t>
    </x:r>
  </x:si>
  <x:si>
    <x:t xml:space="preserve">9433 KDDI</x:t>
  </x:si>
  <x:si>
    <x:t xml:space="preserve">押し目待ち</x:t>
  </x:si>
  <x:si>
    <x:r>
      <x:rPr>
        <x:sz val="10"/>
        <x:rFont val="Aptos"/>
      </x:rPr>
      <x:t xml:space="preserve">8035 </x:t>
    </x:r>
    <x:r>
      <x:rPr>
        <x:sz val="10"/>
        <x:rFont val="Noto Sans CJK SC"/>
        <x:family val="2"/>
      </x:rPr>
      <x:t xml:space="preserve">東京エレクトロン</x:t>
    </x:r>
  </x:si>
  <x:si>
    <x:r>
      <x:rPr>
        <x:sz val="10"/>
        <x:rFont val="Aptos"/>
      </x:rPr>
      <x:t xml:space="preserve">S</x:t>
    </x:r>
    <x:r>
      <x:rPr>
        <x:sz val="10"/>
        <x:rFont val="Noto Sans CJK SC"/>
        <x:family val="2"/>
      </x:rPr>
      <x:t xml:space="preserve">株</x:t>
    </x:r>
    <x:r>
      <x:rPr>
        <x:sz val="10"/>
        <x:rFont val="Aptos"/>
      </x:rPr>
      <x:t xml:space="preserve">1</x:t>
    </x:r>
    <x:r>
      <x:rPr>
        <x:sz val="10"/>
        <x:rFont val="Noto Sans CJK SC"/>
        <x:family val="2"/>
      </x:rPr>
      <x:t xml:space="preserve">〜</x:t>
    </x:r>
    <x:r>
      <x:rPr>
        <x:sz val="10"/>
        <x:rFont val="Aptos"/>
      </x:rPr>
      <x:t xml:space="preserve">2</x:t>
    </x:r>
    <x:r>
      <x:rPr>
        <x:sz val="10"/>
        <x:rFont val="Noto Sans CJK SC"/>
        <x:family val="2"/>
      </x:rPr>
      <x:t xml:space="preserve">株</x:t>
    </x:r>
  </x:si>
  <x:si>
    <x:t xml:space="preserve">初回投入</x:t>
  </x:si>
  <x:si>
    <x:r>
      <x:rPr>
        <x:sz val="10"/>
        <x:rFont val="Noto Sans CJK SC"/>
        <x:family val="2"/>
      </x:rPr>
      <x:t xml:space="preserve">約</x:t>
    </x:r>
    <x:r>
      <x:rPr>
        <x:sz val="10"/>
        <x:rFont val="Aptos"/>
      </x:rPr>
      <x:t xml:space="preserve">583,000</x:t>
    </x:r>
    <x:r>
      <x:rPr>
        <x:sz val="10"/>
        <x:rFont val="Noto Sans CJK SC"/>
        <x:family val="2"/>
      </x:rPr>
      <x:t xml:space="preserve">円</x:t>
    </x:r>
  </x:si>
  <x:si>
    <x:t xml:space="preserve">温存資金</x:t>
  </x:si>
  <x:si>
    <x:r>
      <x:rPr>
        <x:sz val="10"/>
        <x:rFont val="Noto Sans CJK SC"/>
        <x:family val="2"/>
      </x:rPr>
      <x:t xml:space="preserve">約</x:t>
    </x:r>
    <x:r>
      <x:rPr>
        <x:sz val="10"/>
        <x:rFont val="Aptos"/>
      </x:rPr>
      <x:t xml:space="preserve">417,000</x:t>
    </x:r>
    <x:r>
      <x:rPr>
        <x:sz val="10"/>
        <x:rFont val="Noto Sans CJK SC"/>
        <x:family val="2"/>
      </x:rPr>
      <x:t xml:space="preserve">円</x:t>
    </x:r>
  </x:si>
  <x:si>
    <x:r>
      <x:rPr>
        <x:b/>
        <x:sz val="10"/>
        <x:color rgb="FFFFFFFF"/>
        <x:rFont val="Noto Sans CJK SC"/>
        <x:family val="2"/>
      </x:rPr>
      <x:t xml:space="preserve">採用する</x:t>
    </x:r>
    <x:r>
      <x:rPr>
        <x:b/>
        <x:sz val="10"/>
        <x:color rgb="FFFFFFFF"/>
        <x:rFont val="Aptos"/>
      </x:rPr>
      <x:t xml:space="preserve">5</x:t>
    </x:r>
    <x:r>
      <x:rPr>
        <x:b/>
        <x:sz val="10"/>
        <x:color rgb="FFFFFFFF"/>
        <x:rFont val="Noto Sans CJK SC"/>
        <x:family val="2"/>
      </x:rPr>
      <x:t xml:space="preserve">つのモデル</x:t>
    </x:r>
  </x:si>
  <x:si>
    <x:t xml:space="preserve">狙い</x:t>
  </x:si>
  <x:si>
    <x:t xml:space="preserve">週末チェック項目</x:t>
  </x:si>
  <x:si>
    <x:t xml:space="preserve">エントリー条件</x:t>
  </x:si>
  <x:si>
    <x:t xml:space="preserve">損切り方針</x:t>
  </x:si>
  <x:si>
    <x:t xml:space="preserve">利確方針</x:t>
  </x:si>
  <x:si>
    <x:r>
      <x:rPr>
        <x:b/>
        <x:sz val="10"/>
        <x:color rgb="FF111827"/>
        <x:rFont val="Aptos"/>
      </x:rPr>
      <x:t xml:space="preserve">AI</x:t>
    </x:r>
    <x:r>
      <x:rPr>
        <x:b/>
        <x:sz val="10"/>
        <x:color rgb="FF111827"/>
        <x:rFont val="Noto Sans CJK SC"/>
        <x:family val="2"/>
      </x:rPr>
      <x:t xml:space="preserve">の使い方</x:t>
    </x:r>
  </x:si>
  <x:si>
    <x:t xml:space="preserve">主なリスク</x:t>
  </x:si>
  <x:si>
    <x:t xml:space="preserve">採用判定基準</x:t>
  </x:si>
  <x:si>
    <x:t xml:space="preserve">上昇トレンドが続く銘柄を狙う</x:t>
  </x:si>
  <x:si>
    <x:t xml:space="preserve">指数、セクター、移動平均、直近高値</x:t>
  </x:si>
  <x:si>
    <x:t xml:space="preserve">上昇基調で押し目または高値更新後の定着</x:t>
  </x:si>
  <x:si>
    <x:t xml:space="preserve">直近安値・移動平均割れ・想定損失上限</x:t>
  </x:si>
  <x:si>
    <x:t xml:space="preserve">分割利確またはトレーリング</x:t>
  </x:si>
  <x:si>
    <x:t xml:space="preserve">チャート条件の言語化、候補比較</x:t>
  </x:si>
  <x:si>
    <x:t xml:space="preserve">急反転、過熱、遅いエントリー</x:t>
  </x:si>
  <x:si>
    <x:t xml:space="preserve">損小利大が守れる</x:t>
  </x:si>
  <x:si>
    <x:t xml:space="preserve">好決算・上方修正後の継続上昇を狙う</x:t>
  </x:si>
  <x:si>
    <x:t xml:space="preserve">決算、上方修正、出来高、翌週イベント</x:t>
  </x:si>
  <x:si>
    <x:t xml:space="preserve">好材料後に高値圏で崩れず推移</x:t>
  </x:si>
  <x:si>
    <x:t xml:space="preserve">決算窓埋め・材料否定・損失上限</x:t>
  </x:si>
  <x:si>
    <x:t xml:space="preserve">材料の織り込み感が強い時に縮小</x:t>
  </x:si>
  <x:si>
    <x:t xml:space="preserve">決算短信・説明資料・ニュース要約</x:t>
  </x:si>
  <x:si>
    <x:t xml:space="preserve">材料出尽くし、ギャップダウン</x:t>
  </x:si>
  <x:si>
    <x:t xml:space="preserve">材料と価格が同方向に続く</x:t>
  </x:si>
  <x:si>
    <x:t xml:space="preserve">市場全体の流れを取りつつ個別で上乗せ</x:t>
  </x:si>
  <x:si>
    <x:r>
      <x:rPr>
        <x:sz val="10"/>
        <x:rFont val="Noto Sans CJK SC"/>
        <x:family val="2"/>
      </x:rPr>
      <x:t xml:space="preserve">指数</x:t>
    </x:r>
    <x:r>
      <x:rPr>
        <x:sz val="10"/>
        <x:rFont val="Aptos"/>
      </x:rPr>
      <x:t xml:space="preserve">ETF</x:t>
    </x:r>
    <x:r>
      <x:rPr>
        <x:sz val="10"/>
        <x:rFont val="Noto Sans CJK SC"/>
        <x:family val="2"/>
      </x:rPr>
      <x:t xml:space="preserve">、金利、為替、セクター</x:t>
    </x:r>
    <x:r>
      <x:rPr>
        <x:sz val="10"/>
        <x:rFont val="Aptos"/>
      </x:rPr>
      <x:t xml:space="preserve">ETF</x:t>
    </x:r>
  </x:si>
  <x:si>
    <x:r>
      <x:rPr>
        <x:sz val="10"/>
        <x:rFont val="Noto Sans CJK SC"/>
        <x:family val="2"/>
      </x:rPr>
      <x:t xml:space="preserve">地合い良好時に</x:t>
    </x:r>
    <x:r>
      <x:rPr>
        <x:sz val="10"/>
        <x:rFont val="Aptos"/>
      </x:rPr>
      <x:t xml:space="preserve">ETF</x:t>
    </x:r>
    <x:r>
      <x:rPr>
        <x:sz val="10"/>
        <x:rFont val="Noto Sans CJK SC"/>
        <x:family val="2"/>
      </x:rPr>
      <x:t xml:space="preserve">中心、個別は少額</x:t>
    </x:r>
  </x:si>
  <x:si>
    <x:r>
      <x:rPr>
        <x:sz val="10"/>
        <x:rFont val="Aptos"/>
      </x:rPr>
      <x:t xml:space="preserve">ETF</x:t>
    </x:r>
    <x:r>
      <x:rPr>
        <x:sz val="10"/>
        <x:rFont val="Noto Sans CJK SC"/>
        <x:family val="2"/>
      </x:rPr>
      <x:t xml:space="preserve">は広め、個別は厳しめ</x:t>
    </x:r>
  </x:si>
  <x:si>
    <x:r>
      <x:rPr>
        <x:sz val="10"/>
        <x:rFont val="Aptos"/>
      </x:rPr>
      <x:t xml:space="preserve">ETF</x:t>
    </x:r>
    <x:r>
      <x:rPr>
        <x:sz val="10"/>
        <x:rFont val="Noto Sans CJK SC"/>
        <x:family val="2"/>
      </x:rPr>
      <x:t xml:space="preserve">は段階利確、個別は短め</x:t>
    </x:r>
  </x:si>
  <x:si>
    <x:r>
      <x:rPr>
        <x:sz val="10"/>
        <x:rFont val="Noto Sans CJK SC"/>
        <x:family val="2"/>
      </x:rPr>
      <x:t xml:space="preserve">マクロ要約、</x:t>
    </x:r>
    <x:r>
      <x:rPr>
        <x:sz val="10"/>
        <x:rFont val="Aptos"/>
      </x:rPr>
      <x:t xml:space="preserve">ETF</x:t>
    </x:r>
    <x:r>
      <x:rPr>
        <x:sz val="10"/>
        <x:rFont val="Noto Sans CJK SC"/>
        <x:family val="2"/>
      </x:rPr>
      <x:t xml:space="preserve">比較、個別候補整理</x:t>
    </x:r>
  </x:si>
  <x:si>
    <x:t xml:space="preserve">個別の寄与が薄い、相場急変</x:t>
  </x:si>
  <x:si>
    <x:t xml:space="preserve">安定して継続しやすい</x:t>
  </x:si>
  <x:si>
    <x:t xml:space="preserve">価格上昇をニュースの質で確認する</x:t>
  </x:si>
  <x:si>
    <x:t xml:space="preserve">直近ニュース、テーマ、競合、規制</x:t>
  </x:si>
  <x:si>
    <x:t xml:space="preserve">価格が強く、ニュースが一過性でない</x:t>
  </x:si>
  <x:si>
    <x:t xml:space="preserve">ニュース否定・出来高減少・損失上限</x:t>
  </x:si>
  <x:si>
    <x:t xml:space="preserve">ニュース熱が冷めたら縮小</x:t>
  </x:si>
  <x:si>
    <x:r>
      <x:rPr>
        <x:sz val="10"/>
        <x:rFont val="Noto Sans CJK SC"/>
        <x:family val="2"/>
      </x:rPr>
      <x:t xml:space="preserve">ニュースを強気</x:t>
    </x:r>
    <x:r>
      <x:rPr>
        <x:sz val="10"/>
        <x:rFont val="Aptos"/>
      </x:rPr>
      <x:t xml:space="preserve">/</x:t>
    </x:r>
    <x:r>
      <x:rPr>
        <x:sz val="10"/>
        <x:rFont val="Noto Sans CJK SC"/>
        <x:family val="2"/>
      </x:rPr>
      <x:t xml:space="preserve">弱気</x:t>
    </x:r>
    <x:r>
      <x:rPr>
        <x:sz val="10"/>
        <x:rFont val="Aptos"/>
      </x:rPr>
      <x:t xml:space="preserve">/</x:t>
    </x:r>
    <x:r>
      <x:rPr>
        <x:sz val="10"/>
        <x:rFont val="Noto Sans CJK SC"/>
        <x:family val="2"/>
      </x:rPr>
      <x:t xml:space="preserve">中立で採点</x:t>
    </x:r>
  </x:si>
  <x:si>
    <x:r>
      <x:rPr>
        <x:sz val="10"/>
        <x:rFont val="Noto Sans CJK SC"/>
        <x:family val="2"/>
      </x:rPr>
      <x:t xml:space="preserve">誤情報、煽り、</x:t>
    </x:r>
    <x:r>
      <x:rPr>
        <x:sz val="10"/>
        <x:rFont val="Aptos"/>
      </x:rPr>
      <x:t xml:space="preserve">AI</x:t>
    </x:r>
    <x:r>
      <x:rPr>
        <x:sz val="10"/>
        <x:rFont val="Noto Sans CJK SC"/>
        <x:family val="2"/>
      </x:rPr>
      <x:t xml:space="preserve">の読み違い</x:t>
    </x:r>
  </x:si>
  <x:si>
    <x:t xml:space="preserve">ニュース確認で悪い取引を避ける</x:t>
  </x:si>
  <x:si>
    <x:t xml:space="preserve">無理に当てず、流動性と損失制御を重視</x:t>
  </x:si>
  <x:si>
    <x:t xml:space="preserve">出来高、ボラ、スプレッド、相関</x:t>
  </x:si>
  <x:si>
    <x:t xml:space="preserve">低ボラ・高流動性で条件が明確</x:t>
  </x:si>
  <x:si>
    <x:r>
      <x:rPr>
        <x:sz val="10"/>
        <x:rFont val="Aptos"/>
      </x:rPr>
      <x:t xml:space="preserve">ATR</x:t>
    </x:r>
    <x:r>
      <x:rPr>
        <x:sz val="10"/>
        <x:rFont val="Noto Sans CJK SC"/>
        <x:family val="2"/>
      </x:rPr>
      <x:t xml:space="preserve">や直近安値を使い小さく管理</x:t>
    </x:r>
  </x:si>
  <x:si>
    <x:t xml:space="preserve">小さく確定、悪化時は撤退</x:t>
  </x:si>
  <x:si>
    <x:t xml:space="preserve">ポジションサイズ計算、相関チェック</x:t>
  </x:si>
  <x:si>
    <x:t xml:space="preserve">リターンが小さい、機会損失</x:t>
  </x:si>
  <x:si>
    <x:t xml:space="preserve">損失が最も安定して小さい</x:t>
  </x:si>
  <x:si>
    <x:r>
      <x:rPr>
        <x:b/>
        <x:sz val="10"/>
        <x:color rgb="FFFFFFFF"/>
        <x:rFont val="Aptos"/>
      </x:rPr>
      <x:t xml:space="preserve">100</x:t>
    </x:r>
    <x:r>
      <x:rPr>
        <x:b/>
        <x:sz val="10"/>
        <x:color rgb="FFFFFFFF"/>
        <x:rFont val="Noto Sans CJK SC"/>
        <x:family val="2"/>
      </x:rPr>
      <x:t xml:space="preserve">万円前提 資金配分案</x:t>
    </x:r>
  </x:si>
  <x:si>
    <x:t xml:space="preserve">総資金</x:t>
  </x:si>
  <x:si>
    <x:t xml:space="preserve">初回投入目安</x:t>
  </x:si>
  <x:si>
    <x:t xml:space="preserve">現金温存目安</x:t>
  </x:si>
  <x:si>
    <x:t xml:space="preserve">初回投入比率</x:t>
  </x:si>
  <x:si>
    <x:t xml:space="preserve">現金比率</x:t>
  </x:si>
  <x:si>
    <x:t xml:space="preserve">方針</x:t>
  </x:si>
  <x:si>
    <x:t xml:space="preserve">上限一杯に投資せず、良さそうな銘柄や押し目が出たときに回せる余剰金を確保する</x:t>
  </x:si>
  <x:si>
    <x:t xml:space="preserve">区分</x:t>
  </x:si>
  <x:si>
    <x:t xml:space="preserve">コード</x:t>
  </x:si>
  <x:si>
    <x:t xml:space="preserve">銘柄</x:t>
  </x:si>
  <x:si>
    <x:t xml:space="preserve">株数</x:t>
  </x:si>
  <x:si>
    <x:r>
      <x:rPr>
        <x:b/>
        <x:sz val="10"/>
        <x:color rgb="FF111827"/>
        <x:rFont val="Aptos"/>
      </x:rPr>
      <x:t xml:space="preserve">Entry</x:t>
    </x:r>
    <x:r>
      <x:rPr>
        <x:b/>
        <x:sz val="10"/>
        <x:color rgb="FF111827"/>
        <x:rFont val="Noto Sans CJK SC"/>
        <x:family val="2"/>
      </x:rPr>
      <x:t xml:space="preserve">目安</x:t>
    </x:r>
  </x:si>
  <x:si>
    <x:t xml:space="preserve">投資額</x:t>
  </x:si>
  <x:si>
    <x:t xml:space="preserve">Stop</x:t>
  </x:si>
  <x:si>
    <x:r>
      <x:rPr>
        <x:b/>
        <x:sz val="10"/>
        <x:color rgb="FF111827"/>
        <x:rFont val="Noto Sans CJK SC"/>
        <x:family val="2"/>
      </x:rPr>
      <x:t xml:space="preserve">第</x:t>
    </x:r>
    <x:r>
      <x:rPr>
        <x:b/>
        <x:sz val="10"/>
        <x:color rgb="FF111827"/>
        <x:rFont val="Aptos"/>
      </x:rPr>
      <x:t xml:space="preserve">1</x:t>
    </x:r>
    <x:r>
      <x:rPr>
        <x:b/>
        <x:sz val="10"/>
        <x:color rgb="FF111827"/>
        <x:rFont val="Noto Sans CJK SC"/>
        <x:family val="2"/>
      </x:rPr>
      <x:t xml:space="preserve">利確</x:t>
    </x:r>
  </x:si>
  <x:si>
    <x:r>
      <x:rPr>
        <x:b/>
        <x:sz val="10"/>
        <x:color rgb="FF111827"/>
        <x:rFont val="Noto Sans CJK SC"/>
        <x:family val="2"/>
      </x:rPr>
      <x:t xml:space="preserve">第</x:t>
    </x:r>
    <x:r>
      <x:rPr>
        <x:b/>
        <x:sz val="10"/>
        <x:color rgb="FF111827"/>
        <x:rFont val="Aptos"/>
      </x:rPr>
      <x:t xml:space="preserve">2</x:t>
    </x:r>
    <x:r>
      <x:rPr>
        <x:b/>
        <x:sz val="10"/>
        <x:color rgb="FF111827"/>
        <x:rFont val="Noto Sans CJK SC"/>
        <x:family val="2"/>
      </x:rPr>
      <x:t xml:space="preserve">利確</x:t>
    </x:r>
  </x:si>
  <x:si>
    <x:t xml:space="preserve">損切り損益</x:t>
  </x:si>
  <x:si>
    <x:r>
      <x:rPr>
        <x:b/>
        <x:sz val="10"/>
        <x:color rgb="FF111827"/>
        <x:rFont val="Noto Sans CJK SC"/>
        <x:family val="2"/>
      </x:rPr>
      <x:t xml:space="preserve">第</x:t>
    </x:r>
    <x:r>
      <x:rPr>
        <x:b/>
        <x:sz val="10"/>
        <x:color rgb="FF111827"/>
        <x:rFont val="Aptos"/>
      </x:rPr>
      <x:t xml:space="preserve">1</x:t>
    </x:r>
    <x:r>
      <x:rPr>
        <x:b/>
        <x:sz val="10"/>
        <x:color rgb="FF111827"/>
        <x:rFont val="Noto Sans CJK SC"/>
        <x:family val="2"/>
      </x:rPr>
      <x:t xml:space="preserve">利確損益</x:t>
    </x:r>
  </x:si>
  <x:si>
    <x:r>
      <x:rPr>
        <x:b/>
        <x:sz val="10"/>
        <x:color rgb="FF111827"/>
        <x:rFont val="Noto Sans CJK SC"/>
        <x:family val="2"/>
      </x:rPr>
      <x:t xml:space="preserve">第</x:t>
    </x:r>
    <x:r>
      <x:rPr>
        <x:b/>
        <x:sz val="10"/>
        <x:color rgb="FF111827"/>
        <x:rFont val="Aptos"/>
      </x:rPr>
      <x:t xml:space="preserve">2</x:t>
    </x:r>
    <x:r>
      <x:rPr>
        <x:b/>
        <x:sz val="10"/>
        <x:color rgb="FF111827"/>
        <x:rFont val="Noto Sans CJK SC"/>
        <x:family val="2"/>
      </x:rPr>
      <x:t xml:space="preserve">利確損益</x:t>
    </x:r>
  </x:si>
  <x:si>
    <x:t xml:space="preserve">8306</x:t>
  </x:si>
  <x:si>
    <x:r>
      <x:rPr>
        <x:sz val="10"/>
        <x:rFont val="Noto Sans CJK SC"/>
        <x:family val="2"/>
      </x:rPr>
      <x:t xml:space="preserve">三菱</x:t>
    </x:r>
    <x:r>
      <x:rPr>
        <x:sz val="10"/>
        <x:rFont val="Aptos"/>
      </x:rPr>
      <x:t xml:space="preserve">UFJ FG</x:t>
    </x:r>
  </x:si>
  <x:si>
    <x:t xml:space="preserve">実行候補</x:t>
  </x:si>
  <x:si>
    <x:t xml:space="preserve">9433</x:t>
  </x:si>
  <x:si>
    <x:t xml:space="preserve">KDDI</x:t>
  </x:si>
  <x:si>
    <x:t xml:space="preserve">8035</x:t>
  </x:si>
  <x:si>
    <x:t xml:space="preserve">東京エレクトロン</x:t>
  </x:si>
  <x:si>
    <x:t xml:space="preserve">待機</x:t>
  </x:si>
  <x:si>
    <x:t xml:space="preserve">初回候補のみ投資額</x:t>
  </x:si>
  <x:si>
    <x:r>
      <x:rPr>
        <x:sz val="10"/>
        <x:rFont val="Aptos"/>
      </x:rPr>
      <x:t xml:space="preserve">8035</x:t>
    </x:r>
    <x:r>
      <x:rPr>
        <x:sz val="10"/>
        <x:rFont val="Noto Sans CJK SC"/>
        <x:family val="2"/>
      </x:rPr>
      <x:t xml:space="preserve">まで入れた投資額</x:t>
    </x:r>
  </x:si>
  <x:si>
    <x:t xml:space="preserve">初回候補のみ現金</x:t>
  </x:si>
  <x:si>
    <x:r>
      <x:rPr>
        <x:sz val="10"/>
        <x:rFont val="Aptos"/>
      </x:rPr>
      <x:t xml:space="preserve">8035</x:t>
    </x:r>
    <x:r>
      <x:rPr>
        <x:sz val="10"/>
        <x:rFont val="Noto Sans CJK SC"/>
        <x:family val="2"/>
      </x:rPr>
      <x:t xml:space="preserve">まで入れた現金</x:t>
    </x:r>
  </x:si>
  <x:si>
    <x:t xml:space="preserve">初回候補損切り</x:t>
  </x:si>
  <x:si>
    <x:r>
      <x:rPr>
        <x:sz val="10"/>
        <x:rFont val="Aptos"/>
      </x:rPr>
      <x:t xml:space="preserve">8035</x:t>
    </x:r>
    <x:r>
      <x:rPr>
        <x:sz val="10"/>
        <x:rFont val="Noto Sans CJK SC"/>
        <x:family val="2"/>
      </x:rPr>
      <x:t xml:space="preserve">込み損切り</x:t>
    </x:r>
  </x:si>
  <x:si>
    <x:r>
      <x:rPr>
        <x:sz val="10"/>
        <x:rFont val="Noto Sans CJK SC"/>
        <x:family val="2"/>
      </x:rPr>
      <x:t xml:space="preserve">初回候補第</x:t>
    </x:r>
    <x:r>
      <x:rPr>
        <x:sz val="10"/>
        <x:rFont val="Aptos"/>
      </x:rPr>
      <x:t xml:space="preserve">1</x:t>
    </x:r>
    <x:r>
      <x:rPr>
        <x:sz val="10"/>
        <x:rFont val="Noto Sans CJK SC"/>
        <x:family val="2"/>
      </x:rPr>
      <x:t xml:space="preserve">利確</x:t>
    </x:r>
  </x:si>
  <x:si>
    <x:r>
      <x:rPr>
        <x:sz val="10"/>
        <x:rFont val="Aptos"/>
      </x:rPr>
      <x:t xml:space="preserve">8035</x:t>
    </x:r>
    <x:r>
      <x:rPr>
        <x:sz val="10"/>
        <x:rFont val="Noto Sans CJK SC"/>
        <x:family val="2"/>
      </x:rPr>
      <x:t xml:space="preserve">込み第</x:t>
    </x:r>
    <x:r>
      <x:rPr>
        <x:sz val="10"/>
        <x:rFont val="Aptos"/>
      </x:rPr>
      <x:t xml:space="preserve">1</x:t>
    </x:r>
    <x:r>
      <x:rPr>
        <x:sz val="10"/>
        <x:rFont val="Noto Sans CJK SC"/>
        <x:family val="2"/>
      </x:rPr>
      <x:t xml:space="preserve">利確</x:t>
    </x:r>
  </x:si>
  <x:si>
    <x:r>
      <x:rPr>
        <x:sz val="10"/>
        <x:rFont val="Noto Sans CJK SC"/>
        <x:family val="2"/>
      </x:rPr>
      <x:t xml:space="preserve">初回候補第</x:t>
    </x:r>
    <x:r>
      <x:rPr>
        <x:sz val="10"/>
        <x:rFont val="Aptos"/>
      </x:rPr>
      <x:t xml:space="preserve">2</x:t>
    </x:r>
    <x:r>
      <x:rPr>
        <x:sz val="10"/>
        <x:rFont val="Noto Sans CJK SC"/>
        <x:family val="2"/>
      </x:rPr>
      <x:t xml:space="preserve">利確</x:t>
    </x:r>
  </x:si>
  <x:si>
    <x:r>
      <x:rPr>
        <x:sz val="10"/>
        <x:rFont val="Aptos"/>
      </x:rPr>
      <x:t xml:space="preserve">8035</x:t>
    </x:r>
    <x:r>
      <x:rPr>
        <x:sz val="10"/>
        <x:rFont val="Noto Sans CJK SC"/>
        <x:family val="2"/>
      </x:rPr>
      <x:t xml:space="preserve">込み第</x:t>
    </x:r>
    <x:r>
      <x:rPr>
        <x:sz val="10"/>
        <x:rFont val="Aptos"/>
      </x:rPr>
      <x:t xml:space="preserve">2</x:t>
    </x:r>
    <x:r>
      <x:rPr>
        <x:sz val="10"/>
        <x:rFont val="Noto Sans CJK SC"/>
        <x:family val="2"/>
      </x:rPr>
      <x:t xml:space="preserve">利確</x:t>
    </x:r>
  </x:si>
  <x:si>
    <x:t xml:space="preserve">監視リストと条件</x:t>
  </x:si>
  <x:si>
    <x:t xml:space="preserve">優先</x:t>
  </x:si>
  <x:si>
    <x:t xml:space="preserve">扱い</x:t>
  </x:si>
  <x:si>
    <x:t xml:space="preserve">上昇確認</x:t>
  </x:si>
  <x:si>
    <x:r>
      <x:rPr>
        <x:b/>
        <x:sz val="10"/>
        <x:color rgb="FF111827"/>
        <x:rFont val="Noto Sans CJK SC"/>
        <x:family val="2"/>
      </x:rPr>
      <x:t xml:space="preserve">見送り</x:t>
    </x:r>
    <x:r>
      <x:rPr>
        <x:b/>
        <x:sz val="10"/>
        <x:color rgb="FF111827"/>
        <x:rFont val="Aptos"/>
      </x:rPr>
      <x:t xml:space="preserve">/</x:t>
    </x:r>
    <x:r>
      <x:rPr>
        <x:b/>
        <x:sz val="10"/>
        <x:color rgb="FF111827"/>
        <x:rFont val="Noto Sans CJK SC"/>
        <x:family val="2"/>
      </x:rPr>
      <x:t xml:space="preserve">損切り</x:t>
    </x:r>
  </x:si>
  <x:si>
    <x:t xml:space="preserve">資金方針</x:t>
  </x:si>
  <x:si>
    <x:t xml:space="preserve">確認するデータ</x:t>
  </x:si>
  <x:si>
    <x:t xml:space="preserve">検索時の判断</x:t>
  </x:si>
  <x:si>
    <x:t xml:space="preserve">次アクション</x:t>
  </x:si>
  <x:si>
    <x:t xml:space="preserve">メモ</x:t>
  </x:si>
  <x:si>
    <x:r>
      <x:rPr>
        <x:sz val="10"/>
        <x:rFont val="Aptos"/>
      </x:rPr>
      <x:t xml:space="preserve">3,220</x:t>
    </x:r>
    <x:r>
      <x:rPr>
        <x:sz val="10"/>
        <x:rFont val="Noto Sans CJK SC"/>
        <x:family val="2"/>
      </x:rPr>
      <x:t xml:space="preserve">円超え、銀行セクター強含み</x:t>
    </x:r>
  </x:si>
  <x:si>
    <x:r>
      <x:rPr>
        <x:sz val="10"/>
        <x:rFont val="Aptos"/>
      </x:rPr>
      <x:t xml:space="preserve">3,000</x:t>
    </x:r>
    <x:r>
      <x:rPr>
        <x:sz val="10"/>
        <x:rFont val="Noto Sans CJK SC"/>
        <x:family val="2"/>
      </x:rPr>
      <x:t xml:space="preserve">円割れ</x:t>
    </x:r>
  </x:si>
  <x:si>
    <x:r>
      <x:rPr>
        <x:sz val="10"/>
        <x:rFont val="Aptos"/>
      </x:rPr>
      <x:t xml:space="preserve">100</x:t>
    </x:r>
    <x:r>
      <x:rPr>
        <x:sz val="10"/>
        <x:rFont val="Noto Sans CJK SC"/>
        <x:family val="2"/>
      </x:rPr>
      <x:t xml:space="preserve">株まで</x:t>
    </x:r>
  </x:si>
  <x:si>
    <x:r>
      <x:rPr>
        <x:sz val="10"/>
        <x:rFont val="Noto Sans CJK SC"/>
        <x:family val="2"/>
      </x:rPr>
      <x:t xml:space="preserve">価格、出来高、金利</x:t>
    </x:r>
    <x:r>
      <x:rPr>
        <x:sz val="10"/>
        <x:rFont val="Aptos"/>
      </x:rPr>
      <x:t xml:space="preserve">/</x:t>
    </x:r>
    <x:r>
      <x:rPr>
        <x:sz val="10"/>
        <x:rFont val="Noto Sans CJK SC"/>
        <x:family val="2"/>
      </x:rPr>
      <x:t xml:space="preserve">日銀ニュース</x:t>
    </x:r>
  </x:si>
  <x:si>
    <x:r>
      <x:rPr>
        <x:sz val="10"/>
        <x:rFont val="Noto Sans CJK SC"/>
        <x:family val="2"/>
      </x:rPr>
      <x:t xml:space="preserve">継続候補か利確</x:t>
    </x:r>
    <x:r>
      <x:rPr>
        <x:sz val="10"/>
        <x:rFont val="Aptos"/>
      </x:rPr>
      <x:t xml:space="preserve">/</x:t>
    </x:r>
    <x:r>
      <x:rPr>
        <x:sz val="10"/>
        <x:rFont val="Noto Sans CJK SC"/>
        <x:family val="2"/>
      </x:rPr>
      <x:t xml:space="preserve">撤退を判定</x:t>
    </x:r>
  </x:si>
  <x:si>
    <x:t xml:space="preserve">検索時に最新価格で再計算</x:t>
  </x:si>
  <x:si>
    <x:t xml:space="preserve">主力候補</x:t>
  </x:si>
  <x:si>
    <x:r>
      <x:rPr>
        <x:sz val="10"/>
        <x:rFont val="Aptos"/>
      </x:rPr>
      <x:t xml:space="preserve">2,750</x:t>
    </x:r>
    <x:r>
      <x:rPr>
        <x:sz val="10"/>
        <x:rFont val="Noto Sans CJK SC"/>
        <x:family val="2"/>
      </x:rPr>
      <x:t xml:space="preserve">円超え、</x:t>
    </x:r>
    <x:r>
      <x:rPr>
        <x:sz val="10"/>
        <x:rFont val="Aptos"/>
      </x:rPr>
      <x:t xml:space="preserve">2,650</x:t>
    </x:r>
    <x:r>
      <x:rPr>
        <x:sz val="10"/>
        <x:rFont val="Noto Sans CJK SC"/>
        <x:family val="2"/>
      </x:rPr>
      <x:t xml:space="preserve">円台維持</x:t>
    </x:r>
  </x:si>
  <x:si>
    <x:r>
      <x:rPr>
        <x:sz val="10"/>
        <x:rFont val="Aptos"/>
      </x:rPr>
      <x:t xml:space="preserve">2,580</x:t>
    </x:r>
    <x:r>
      <x:rPr>
        <x:sz val="10"/>
        <x:rFont val="Noto Sans CJK SC"/>
        <x:family val="2"/>
      </x:rPr>
      <x:t xml:space="preserve">円割れ</x:t>
    </x:r>
  </x:si>
  <x:si>
    <x:t xml:space="preserve">価格、出来高、通信セクター</x:t>
  </x:si>
  <x:si>
    <x:t xml:space="preserve">守り枠として継続可否を判定</x:t>
  </x:si>
  <x:si>
    <x:t xml:space="preserve">守り候補</x:t>
  </x:si>
  <x:si>
    <x:r>
      <x:rPr>
        <x:sz val="10"/>
        <x:rFont val="Aptos"/>
      </x:rPr>
      <x:t xml:space="preserve">65,000</x:t>
    </x:r>
    <x:r>
      <x:rPr>
        <x:sz val="10"/>
        <x:rFont val="Noto Sans CJK SC"/>
        <x:family val="2"/>
      </x:rPr>
      <x:t xml:space="preserve">〜</x:t>
    </x:r>
    <x:r>
      <x:rPr>
        <x:sz val="10"/>
        <x:rFont val="Aptos"/>
      </x:rPr>
      <x:t xml:space="preserve">66,000</x:t>
    </x:r>
    <x:r>
      <x:rPr>
        <x:sz val="10"/>
        <x:rFont val="Noto Sans CJK SC"/>
        <x:family val="2"/>
      </x:rPr>
      <x:t xml:space="preserve">円台から反発、または</x:t>
    </x:r>
    <x:r>
      <x:rPr>
        <x:sz val="10"/>
        <x:rFont val="Aptos"/>
      </x:rPr>
      <x:t xml:space="preserve">70,000</x:t>
    </x:r>
    <x:r>
      <x:rPr>
        <x:sz val="10"/>
        <x:rFont val="Noto Sans CJK SC"/>
        <x:family val="2"/>
      </x:rPr>
      <x:t xml:space="preserve">円超え</x:t>
    </x:r>
  </x:si>
  <x:si>
    <x:r>
      <x:rPr>
        <x:sz val="10"/>
        <x:rFont val="Aptos"/>
      </x:rPr>
      <x:t xml:space="preserve">65,000</x:t>
    </x:r>
    <x:r>
      <x:rPr>
        <x:sz val="10"/>
        <x:rFont val="Noto Sans CJK SC"/>
        <x:family val="2"/>
      </x:rPr>
      <x:t xml:space="preserve">円をすぐ割る、半導体全体反落</x:t>
    </x:r>
  </x:si>
  <x:si>
    <x:r>
      <x:rPr>
        <x:sz val="10"/>
        <x:rFont val="Aptos"/>
      </x:rPr>
      <x:t xml:space="preserve">S</x:t>
    </x:r>
    <x:r>
      <x:rPr>
        <x:sz val="10"/>
        <x:rFont val="Noto Sans CJK SC"/>
        <x:family val="2"/>
      </x:rPr>
      <x:t xml:space="preserve">株</x:t>
    </x:r>
    <x:r>
      <x:rPr>
        <x:sz val="10"/>
        <x:rFont val="Aptos"/>
      </x:rPr>
      <x:t xml:space="preserve">1</x:t>
    </x:r>
    <x:r>
      <x:rPr>
        <x:sz val="10"/>
        <x:rFont val="Noto Sans CJK SC"/>
        <x:family val="2"/>
      </x:rPr>
      <x:t xml:space="preserve">〜</x:t>
    </x:r>
    <x:r>
      <x:rPr>
        <x:sz val="10"/>
        <x:rFont val="Aptos"/>
      </x:rPr>
      <x:t xml:space="preserve">2</x:t>
    </x:r>
    <x:r>
      <x:rPr>
        <x:sz val="10"/>
        <x:rFont val="Noto Sans CJK SC"/>
        <x:family val="2"/>
      </x:rPr>
      <x:t xml:space="preserve">株のみ</x:t>
    </x:r>
  </x:si>
  <x:si>
    <x:r>
      <x:rPr>
        <x:sz val="10"/>
        <x:rFont val="Noto Sans CJK SC"/>
        <x:family val="2"/>
      </x:rPr>
      <x:t xml:space="preserve">価格、出来高、半導体指数、</x:t>
    </x:r>
    <x:r>
      <x:rPr>
        <x:sz val="10"/>
        <x:rFont val="Aptos"/>
      </x:rPr>
      <x:t xml:space="preserve">AI</x:t>
    </x:r>
    <x:r>
      <x:rPr>
        <x:sz val="10"/>
        <x:rFont val="Noto Sans CJK SC"/>
        <x:family val="2"/>
      </x:rPr>
      <x:t xml:space="preserve">関連ニュース</x:t>
    </x:r>
  </x:si>
  <x:si>
    <x:t xml:space="preserve">追わずに押し目を待てるか判定</x:t>
  </x:si>
  <x:si>
    <x:t xml:space="preserve">条件到達時だけ検討</x:t>
  </x:si>
  <x:si>
    <x:t xml:space="preserve">急騰後なので注意</x:t>
  </x:si>
  <x:si>
    <x:t xml:space="preserve">6857</x:t>
  </x:si>
  <x:si>
    <x:t xml:space="preserve">アドバンテスト</x:t>
  </x:si>
  <x:si>
    <x:t xml:space="preserve">保留</x:t>
  </x:si>
  <x:si>
    <x:r>
      <x:rPr>
        <x:sz val="10"/>
        <x:rFont val="Aptos"/>
      </x:rPr>
      <x:t xml:space="preserve">28,500</x:t>
    </x:r>
    <x:r>
      <x:rPr>
        <x:sz val="10"/>
        <x:rFont val="Noto Sans CJK SC"/>
        <x:family val="2"/>
      </x:rPr>
      <x:t xml:space="preserve">円超え、出来高増</x:t>
    </x:r>
  </x:si>
  <x:si>
    <x:r>
      <x:rPr>
        <x:sz val="10"/>
        <x:rFont val="Aptos"/>
      </x:rPr>
      <x:t xml:space="preserve">26,000</x:t>
    </x:r>
    <x:r>
      <x:rPr>
        <x:sz val="10"/>
        <x:rFont val="Noto Sans CJK SC"/>
        <x:family val="2"/>
      </x:rPr>
      <x:t xml:space="preserve">円を保てない</x:t>
    </x:r>
  </x:si>
  <x:si>
    <x:r>
      <x:rPr>
        <x:sz val="10"/>
        <x:rFont val="Aptos"/>
      </x:rPr>
      <x:t xml:space="preserve">S</x:t>
    </x:r>
    <x:r>
      <x:rPr>
        <x:sz val="10"/>
        <x:rFont val="Noto Sans CJK SC"/>
        <x:family val="2"/>
      </x:rPr>
      <x:t xml:space="preserve">株少額のみ</x:t>
    </x:r>
  </x:si>
  <x:si>
    <x:t xml:space="preserve">価格、出来高、半導体指数</x:t>
  </x:si>
  <x:si>
    <x:t xml:space="preserve">反発継続か荒さ優先で見送りか</x:t>
  </x:si>
  <x:si>
    <x:t xml:space="preserve">週末再評価</x:t>
  </x:si>
  <x:si>
    <x:t xml:space="preserve">値動き荒い</x:t>
  </x:si>
  <x:si>
    <x:t xml:space="preserve">9984</x:t>
  </x:si>
  <x:si>
    <x:r>
      <x:rPr>
        <x:sz val="10"/>
        <x:rFont val="Noto Sans CJK SC"/>
        <x:family val="2"/>
      </x:rPr>
      <x:t xml:space="preserve">ソフトバンク</x:t>
    </x:r>
    <x:r>
      <x:rPr>
        <x:sz val="10"/>
        <x:rFont val="Aptos"/>
      </x:rPr>
      <x:t xml:space="preserve">G</x:t>
    </x:r>
  </x:si>
  <x:si>
    <x:t xml:space="preserve">高値からの調整後に反発確認</x:t>
  </x:si>
  <x:si>
    <x:r>
      <x:rPr>
        <x:sz val="10"/>
        <x:rFont val="Noto Sans CJK SC"/>
        <x:family val="2"/>
      </x:rPr>
      <x:t xml:space="preserve">資金調達</x:t>
    </x:r>
    <x:r>
      <x:rPr>
        <x:sz val="10"/>
        <x:rFont val="Aptos"/>
      </x:rPr>
      <x:t xml:space="preserve">/AI</x:t>
    </x:r>
    <x:r>
      <x:rPr>
        <x:sz val="10"/>
        <x:rFont val="Noto Sans CJK SC"/>
        <x:family val="2"/>
      </x:rPr>
      <x:t xml:space="preserve">関連悪材料で続落</x:t>
    </x:r>
  </x:si>
  <x:si>
    <x:t xml:space="preserve">小さく観察のみ</x:t>
  </x:si>
  <x:si>
    <x:r>
      <x:rPr>
        <x:sz val="10"/>
        <x:rFont val="Noto Sans CJK SC"/>
        <x:family val="2"/>
      </x:rPr>
      <x:t xml:space="preserve">価格、ニュース、</x:t>
    </x:r>
    <x:r>
      <x:rPr>
        <x:sz val="10"/>
        <x:rFont val="Aptos"/>
      </x:rPr>
      <x:t xml:space="preserve">AI/Arm/OpenAI</x:t>
    </x:r>
    <x:r>
      <x:rPr>
        <x:sz val="10"/>
        <x:rFont val="Noto Sans CJK SC"/>
        <x:family val="2"/>
      </x:rPr>
      <x:t xml:space="preserve">関連</x:t>
    </x:r>
  </x:si>
  <x:si>
    <x:t xml:space="preserve">ニュースと価格反応の一致を確認</x:t>
  </x:si>
  <x:si>
    <x:t xml:space="preserve">ニュース感応度高い</x:t>
  </x:si>
  <x:si>
    <x:t xml:space="preserve">7011</x:t>
  </x:si>
  <x:si>
    <x:t xml:space="preserve">三菱重工業</x:t>
  </x:si>
  <x:si>
    <x:t xml:space="preserve">見送り寄り</x:t>
  </x:si>
  <x:si>
    <x:t xml:space="preserve">下降基調から反転し高値更新</x:t>
  </x:si>
  <x:si>
    <x:t xml:space="preserve">下降継続</x:t>
  </x:si>
  <x:si>
    <x:t xml:space="preserve">当面なし</x:t>
  </x:si>
  <x:si>
    <x:r>
      <x:rPr>
        <x:sz val="10"/>
        <x:rFont val="Noto Sans CJK SC"/>
        <x:family val="2"/>
      </x:rPr>
      <x:t xml:space="preserve">価格、出来高、防衛</x:t>
    </x:r>
    <x:r>
      <x:rPr>
        <x:sz val="10"/>
        <x:rFont val="Aptos"/>
      </x:rPr>
      <x:t xml:space="preserve">/</x:t>
    </x:r>
    <x:r>
      <x:rPr>
        <x:sz val="10"/>
        <x:rFont val="Noto Sans CJK SC"/>
        <x:family val="2"/>
      </x:rPr>
      <x:t xml:space="preserve">受注ニュース</x:t>
    </x:r>
  </x:si>
  <x:si>
    <x:t xml:space="preserve">材料とチャートが一致するか確認</x:t>
  </x:si>
  <x:si>
    <x:t xml:space="preserve">材料は強いが形が弱い</x:t>
  </x:si>
  <x:si>
    <x:t xml:space="preserve">6501</x:t>
  </x:si>
  <x:si>
    <x:t xml:space="preserve">日立製作所</x:t>
  </x:si>
  <x:si>
    <x:t xml:space="preserve">下げ止まり後に移動平均回復</x:t>
  </x:si>
  <x:si>
    <x:t xml:space="preserve">下落継続</x:t>
  </x:si>
  <x:si>
    <x:r>
      <x:rPr>
        <x:sz val="10"/>
        <x:rFont val="Noto Sans CJK SC"/>
        <x:family val="2"/>
      </x:rPr>
      <x:t xml:space="preserve">価格、出来高、決算</x:t>
    </x:r>
    <x:r>
      <x:rPr>
        <x:sz val="10"/>
        <x:rFont val="Aptos"/>
      </x:rPr>
      <x:t xml:space="preserve">/</x:t>
    </x:r>
    <x:r>
      <x:rPr>
        <x:sz val="10"/>
        <x:rFont val="Noto Sans CJK SC"/>
        <x:family val="2"/>
      </x:rPr>
      <x:t xml:space="preserve">インフラ材料</x:t>
    </x:r>
  </x:si>
  <x:si>
    <x:t xml:space="preserve">下げ止まり確認が先</x:t>
  </x:si>
  <x:si>
    <x:t xml:space="preserve">今は様子見</x:t>
  </x:si>
  <x:si>
    <x:t xml:space="preserve">模擬取引ログ</x:t>
  </x:si>
  <x:si>
    <x:t xml:space="preserve">No.</x:t>
  </x:si>
  <x:si>
    <x:t xml:space="preserve">週</x:t>
  </x:si>
  <x:si>
    <x:r>
      <x:rPr>
        <x:b/>
        <x:sz val="10"/>
        <x:color rgb="FF111827"/>
        <x:rFont val="Noto Sans CJK SC"/>
        <x:family val="2"/>
      </x:rPr>
      <x:t xml:space="preserve">銘柄</x:t>
    </x:r>
    <x:r>
      <x:rPr>
        <x:b/>
        <x:sz val="10"/>
        <x:color rgb="FF111827"/>
        <x:rFont val="Aptos"/>
      </x:rPr>
      <x:t xml:space="preserve">/</x:t>
    </x:r>
    <x:r>
      <x:rPr>
        <x:b/>
        <x:sz val="10"/>
        <x:color rgb="FF111827"/>
        <x:rFont val="Noto Sans CJK SC"/>
        <x:family val="2"/>
      </x:rPr>
      <x:t xml:space="preserve">ティッカー</x:t>
    </x:r>
  </x:si>
  <x:si>
    <x:t xml:space="preserve">市場</x:t>
  </x:si>
  <x:si>
    <x:t xml:space="preserve">候補日</x:t>
  </x:si>
  <x:si>
    <x:r>
      <x:rPr>
        <x:b/>
        <x:sz val="10"/>
        <x:color rgb="FF111827"/>
        <x:rFont val="Noto Sans CJK SC"/>
        <x:family val="2"/>
      </x:rPr>
      <x:t xml:space="preserve">仮想</x:t>
    </x:r>
    <x:r>
      <x:rPr>
        <x:b/>
        <x:sz val="10"/>
        <x:color rgb="FF111827"/>
        <x:rFont val="Aptos"/>
      </x:rPr>
      <x:t xml:space="preserve">Entry</x:t>
    </x:r>
    <x:r>
      <x:rPr>
        <x:b/>
        <x:sz val="10"/>
        <x:color rgb="FF111827"/>
        <x:rFont val="Noto Sans CJK SC"/>
        <x:family val="2"/>
      </x:rPr>
      <x:t xml:space="preserve">日</x:t>
    </x:r>
  </x:si>
  <x:si>
    <x:r>
      <x:rPr>
        <x:b/>
        <x:sz val="10"/>
        <x:color rgb="FF111827"/>
        <x:rFont val="Aptos"/>
      </x:rPr>
      <x:t xml:space="preserve">Entry</x:t>
    </x:r>
    <x:r>
      <x:rPr>
        <x:b/>
        <x:sz val="10"/>
        <x:color rgb="FF111827"/>
        <x:rFont val="Noto Sans CJK SC"/>
        <x:family val="2"/>
      </x:rPr>
      <x:t xml:space="preserve">価格</x:t>
    </x:r>
  </x:si>
  <x:si>
    <x:r>
      <x:rPr>
        <x:b/>
        <x:sz val="10"/>
        <x:color rgb="FF111827"/>
        <x:rFont val="Aptos"/>
      </x:rPr>
      <x:t xml:space="preserve">Stop</x:t>
    </x:r>
    <x:r>
      <x:rPr>
        <x:b/>
        <x:sz val="10"/>
        <x:color rgb="FF111827"/>
        <x:rFont val="Noto Sans CJK SC"/>
        <x:family val="2"/>
      </x:rPr>
      <x:t xml:space="preserve">価格</x:t>
    </x:r>
  </x:si>
  <x:si>
    <x:r>
      <x:rPr>
        <x:b/>
        <x:sz val="10"/>
        <x:color rgb="FF111827"/>
        <x:rFont val="Aptos"/>
      </x:rPr>
      <x:t xml:space="preserve">Target</x:t>
    </x:r>
    <x:r>
      <x:rPr>
        <x:b/>
        <x:sz val="10"/>
        <x:color rgb="FF111827"/>
        <x:rFont val="Noto Sans CJK SC"/>
        <x:family val="2"/>
      </x:rPr>
      <x:t xml:space="preserve">価格</x:t>
    </x:r>
  </x:si>
  <x:si>
    <x:t xml:space="preserve">想定損失率</x:t>
  </x:si>
  <x:si>
    <x:r>
      <x:rPr>
        <x:b/>
        <x:sz val="10"/>
        <x:color rgb="FF111827"/>
        <x:rFont val="Noto Sans CJK SC"/>
        <x:family val="2"/>
      </x:rPr>
      <x:t xml:space="preserve">仮想</x:t>
    </x:r>
    <x:r>
      <x:rPr>
        <x:b/>
        <x:sz val="10"/>
        <x:color rgb="FF111827"/>
        <x:rFont val="Aptos"/>
      </x:rPr>
      <x:t xml:space="preserve">Exit</x:t>
    </x:r>
    <x:r>
      <x:rPr>
        <x:b/>
        <x:sz val="10"/>
        <x:color rgb="FF111827"/>
        <x:rFont val="Noto Sans CJK SC"/>
        <x:family val="2"/>
      </x:rPr>
      <x:t xml:space="preserve">日</x:t>
    </x:r>
  </x:si>
  <x:si>
    <x:r>
      <x:rPr>
        <x:b/>
        <x:sz val="10"/>
        <x:color rgb="FF111827"/>
        <x:rFont val="Aptos"/>
      </x:rPr>
      <x:t xml:space="preserve">Exit</x:t>
    </x:r>
    <x:r>
      <x:rPr>
        <x:b/>
        <x:sz val="10"/>
        <x:color rgb="FF111827"/>
        <x:rFont val="Noto Sans CJK SC"/>
        <x:family val="2"/>
      </x:rPr>
      <x:t xml:space="preserve">価格</x:t>
    </x:r>
  </x:si>
  <x:si>
    <x:t xml:space="preserve">損益率</x:t>
  </x:si>
  <x:si>
    <x:t xml:space="preserve">根拠</x:t>
  </x:si>
  <x:si>
    <x:r>
      <x:rPr>
        <x:b/>
        <x:sz val="10"/>
        <x:color rgb="FF111827"/>
        <x:rFont val="Aptos"/>
      </x:rPr>
      <x:t xml:space="preserve">AI</x:t>
    </x:r>
    <x:r>
      <x:rPr>
        <x:b/>
        <x:sz val="10"/>
        <x:color rgb="FF111827"/>
        <x:rFont val="Noto Sans CJK SC"/>
        <x:family val="2"/>
      </x:rPr>
      <x:t xml:space="preserve">要約</x:t>
    </x:r>
  </x:si>
  <x:si>
    <x:t xml:space="preserve">週末メモ</x:t>
  </x:si>
  <x:si>
    <x:t xml:space="preserve">Week 1</x:t>
  </x:si>
  <x:si>
    <x:t xml:space="preserve">日本株</x:t>
  </x:si>
  <x:si>
    <x:t xml:space="preserve">候補</x:t>
  </x:si>
  <x:si>
    <x:r>
      <x:rPr>
        <x:sz val="10"/>
        <x:rFont val="Aptos"/>
      </x:rPr>
      <x:t xml:space="preserve">3</x:t>
    </x:r>
    <x:r>
      <x:rPr>
        <x:sz val="10"/>
        <x:rFont val="Noto Sans CJK SC"/>
        <x:family val="2"/>
      </x:rPr>
      <x:t xml:space="preserve">ヶ月日足の上昇基調が比較的きれいで、</x:t>
    </x:r>
    <x:r>
      <x:rPr>
        <x:sz val="10"/>
        <x:rFont val="Aptos"/>
      </x:rPr>
      <x:t xml:space="preserve">100</x:t>
    </x:r>
    <x:r>
      <x:rPr>
        <x:sz val="10"/>
        <x:rFont val="Noto Sans CJK SC"/>
        <x:family val="2"/>
      </x:rPr>
      <x:t xml:space="preserve">万円口座でも</x:t>
    </x:r>
    <x:r>
      <x:rPr>
        <x:sz val="10"/>
        <x:rFont val="Aptos"/>
      </x:rPr>
      <x:t xml:space="preserve">100</x:t>
    </x:r>
    <x:r>
      <x:rPr>
        <x:sz val="10"/>
        <x:rFont val="Noto Sans CJK SC"/>
        <x:family val="2"/>
      </x:rPr>
      <x:t xml:space="preserve">株単位で扱いやすい</x:t>
    </x:r>
  </x:si>
  <x:si>
    <x:t xml:space="preserve">なし</x:t>
  </x:si>
  <x:si>
    <x:r>
      <x:rPr>
        <x:sz val="10"/>
        <x:rFont val="Noto Sans CJK SC"/>
        <x:family val="2"/>
      </x:rPr>
      <x:t xml:space="preserve">初回</x:t>
    </x:r>
    <x:r>
      <x:rPr>
        <x:sz val="10"/>
        <x:rFont val="Aptos"/>
      </x:rPr>
      <x:t xml:space="preserve">100</x:t>
    </x:r>
    <x:r>
      <x:rPr>
        <x:sz val="10"/>
        <x:rFont val="Noto Sans CJK SC"/>
        <x:family val="2"/>
      </x:rPr>
      <x:t xml:space="preserve">株候補。価格更新時に損益再計算</x:t>
    </x:r>
  </x:si>
  <x:si>
    <x:r>
      <x:rPr>
        <x:sz val="10"/>
        <x:rFont val="Noto Sans CJK SC"/>
        <x:family val="2"/>
      </x:rPr>
      <x:t xml:space="preserve">最新検索時に価格を更新し、</x:t>
    </x:r>
    <x:r>
      <x:rPr>
        <x:sz val="10"/>
        <x:rFont val="Aptos"/>
      </x:rPr>
      <x:t xml:space="preserve">100</x:t>
    </x:r>
    <x:r>
      <x:rPr>
        <x:sz val="10"/>
        <x:rFont val="Noto Sans CJK SC"/>
        <x:family val="2"/>
      </x:rPr>
      <x:t xml:space="preserve">株で再計算</x:t>
    </x:r>
  </x:si>
  <x:si>
    <x:t xml:space="preserve">通信大型株で値動きが比較的落ち着きやすく、余剰資金を残す方針と相性がよい</x:t>
  </x:si>
  <x:si>
    <x:r>
      <x:rPr>
        <x:sz val="10"/>
        <x:rFont val="Noto Sans CJK SC"/>
        <x:family val="2"/>
      </x:rPr>
      <x:t xml:space="preserve">初回</x:t>
    </x:r>
    <x:r>
      <x:rPr>
        <x:sz val="10"/>
        <x:rFont val="Aptos"/>
      </x:rPr>
      <x:t xml:space="preserve">100</x:t>
    </x:r>
    <x:r>
      <x:rPr>
        <x:sz val="10"/>
        <x:rFont val="Noto Sans CJK SC"/>
        <x:family val="2"/>
      </x:rPr>
      <x:t xml:space="preserve">株候補。上昇力より安定性重視</x:t>
    </x:r>
  </x:si>
  <x:si>
    <x:r>
      <x:rPr>
        <x:sz val="10"/>
        <x:rFont val="Noto Sans CJK SC"/>
        <x:family val="2"/>
      </x:rPr>
      <x:t xml:space="preserve">候補内で最も強いチャートだが急騰直後。単元では買えないため</x:t>
    </x:r>
    <x:r>
      <x:rPr>
        <x:sz val="10"/>
        <x:rFont val="Aptos"/>
      </x:rPr>
      <x:t xml:space="preserve">S</x:t>
    </x:r>
    <x:r>
      <x:rPr>
        <x:sz val="10"/>
        <x:rFont val="Noto Sans CJK SC"/>
        <x:family val="2"/>
      </x:rPr>
      <x:t xml:space="preserve">株で少額観察</x:t>
    </x:r>
  </x:si>
  <x:si>
    <x:r>
      <x:rPr>
        <x:sz val="10"/>
        <x:rFont val="Aptos"/>
      </x:rPr>
      <x:t xml:space="preserve">65,000</x:t>
    </x:r>
    <x:r>
      <x:rPr>
        <x:sz val="10"/>
        <x:rFont val="Noto Sans CJK SC"/>
        <x:family val="2"/>
      </x:rPr>
      <x:t xml:space="preserve">〜</x:t>
    </x:r>
    <x:r>
      <x:rPr>
        <x:sz val="10"/>
        <x:rFont val="Aptos"/>
      </x:rPr>
      <x:t xml:space="preserve">66,000</x:t>
    </x:r>
    <x:r>
      <x:rPr>
        <x:sz val="10"/>
        <x:rFont val="Noto Sans CJK SC"/>
        <x:family val="2"/>
      </x:rPr>
      <x:t xml:space="preserve">円台から反発、または</x:t>
    </x:r>
    <x:r>
      <x:rPr>
        <x:sz val="10"/>
        <x:rFont val="Aptos"/>
      </x:rPr>
      <x:t xml:space="preserve">70,000</x:t>
    </x:r>
    <x:r>
      <x:rPr>
        <x:sz val="10"/>
        <x:rFont val="Noto Sans CJK SC"/>
        <x:family val="2"/>
      </x:rPr>
      <x:t xml:space="preserve">円超え出来高あり</x:t>
    </x:r>
  </x:si>
  <x:si>
    <x:r>
      <x:rPr>
        <x:sz val="10"/>
        <x:rFont val="Aptos"/>
      </x:rPr>
      <x:t xml:space="preserve">S</x:t>
    </x:r>
    <x:r>
      <x:rPr>
        <x:sz val="10"/>
        <x:rFont val="Noto Sans CJK SC"/>
        <x:family val="2"/>
      </x:rPr>
      <x:t xml:space="preserve">株</x:t>
    </x:r>
    <x:r>
      <x:rPr>
        <x:sz val="10"/>
        <x:rFont val="Aptos"/>
      </x:rPr>
      <x:t xml:space="preserve">1</x:t>
    </x:r>
    <x:r>
      <x:rPr>
        <x:sz val="10"/>
        <x:rFont val="Noto Sans CJK SC"/>
        <x:family val="2"/>
      </x:rPr>
      <x:t xml:space="preserve">〜</x:t>
    </x:r>
    <x:r>
      <x:rPr>
        <x:sz val="10"/>
        <x:rFont val="Aptos"/>
      </x:rPr>
      <x:t xml:space="preserve">2</x:t>
    </x:r>
    <x:r>
      <x:rPr>
        <x:sz val="10"/>
        <x:rFont val="Noto Sans CJK SC"/>
        <x:family val="2"/>
      </x:rPr>
      <x:t xml:space="preserve">株のみ検討。飛び乗り禁止</x:t>
    </x:r>
  </x:si>
  <x:si>
    <x:r>
      <x:rPr>
        <x:sz val="10"/>
        <x:rFont val="Noto Sans CJK SC"/>
        <x:family val="2"/>
      </x:rPr>
      <x:t xml:space="preserve">押し目条件到達時のみ</x:t>
    </x:r>
    <x:r>
      <x:rPr>
        <x:sz val="10"/>
        <x:rFont val="Aptos"/>
      </x:rPr>
      <x:t xml:space="preserve">S</x:t>
    </x:r>
    <x:r>
      <x:rPr>
        <x:sz val="10"/>
        <x:rFont val="Noto Sans CJK SC"/>
        <x:family val="2"/>
      </x:rPr>
      <x:t xml:space="preserve">株</x:t>
    </x:r>
    <x:r>
      <x:rPr>
        <x:sz val="10"/>
        <x:rFont val="Aptos"/>
      </x:rPr>
      <x:t xml:space="preserve">1</x:t>
    </x:r>
    <x:r>
      <x:rPr>
        <x:sz val="10"/>
        <x:rFont val="Noto Sans CJK SC"/>
        <x:family val="2"/>
      </x:rPr>
      <x:t xml:space="preserve">〜</x:t>
    </x:r>
    <x:r>
      <x:rPr>
        <x:sz val="10"/>
        <x:rFont val="Aptos"/>
      </x:rPr>
      <x:t xml:space="preserve">2</x:t>
    </x:r>
    <x:r>
      <x:rPr>
        <x:sz val="10"/>
        <x:rFont val="Noto Sans CJK SC"/>
        <x:family val="2"/>
      </x:rPr>
      <x:t xml:space="preserve">株を検討</x:t>
    </x:r>
  </x:si>
  <x:si>
    <x:t xml:space="preserve">週末レビュー</x:t>
  </x:si>
  <x:si>
    <x:t xml:space="preserve">レビュー日</x:t>
  </x:si>
  <x:si>
    <x:t xml:space="preserve">市場環境</x:t>
  </x:si>
  <x:si>
    <x:r>
      <x:rPr>
        <x:b/>
        <x:sz val="10"/>
        <x:color rgb="FF111827"/>
        <x:rFont val="Noto Sans CJK SC"/>
        <x:family val="2"/>
      </x:rPr>
      <x:t xml:space="preserve">強いセクター</x:t>
    </x:r>
    <x:r>
      <x:rPr>
        <x:b/>
        <x:sz val="10"/>
        <x:color rgb="FF111827"/>
        <x:rFont val="Aptos"/>
      </x:rPr>
      <x:t xml:space="preserve">/</x:t>
    </x:r>
    <x:r>
      <x:rPr>
        <x:b/>
        <x:sz val="10"/>
        <x:color rgb="FF111827"/>
        <x:rFont val="Noto Sans CJK SC"/>
        <x:family val="2"/>
      </x:rPr>
      <x:t xml:space="preserve">テーマ</x:t>
    </x:r>
  </x:si>
  <x:si>
    <x:r>
      <x:rPr>
        <x:b/>
        <x:sz val="10"/>
        <x:color rgb="FF111827"/>
        <x:rFont val="Noto Sans CJK SC"/>
        <x:family val="2"/>
      </x:rPr>
      <x:t xml:space="preserve">弱いセクター</x:t>
    </x:r>
    <x:r>
      <x:rPr>
        <x:b/>
        <x:sz val="10"/>
        <x:color rgb="FF111827"/>
        <x:rFont val="Aptos"/>
      </x:rPr>
      <x:t xml:space="preserve">/</x:t>
    </x:r>
    <x:r>
      <x:rPr>
        <x:b/>
        <x:sz val="10"/>
        <x:color rgb="FF111827"/>
        <x:rFont val="Noto Sans CJK SC"/>
        <x:family val="2"/>
      </x:rPr>
      <x:t xml:space="preserve">テーマ</x:t>
    </x:r>
  </x:si>
  <x:si>
    <x:t xml:space="preserve">新規候補数</x:t>
  </x:si>
  <x:si>
    <x:t xml:space="preserve">実行候補数</x:t>
  </x:si>
  <x:si>
    <x:t xml:space="preserve">見送り数</x:t>
  </x:si>
  <x:si>
    <x:t xml:space="preserve">最大懸念</x:t>
  </x:si>
  <x:si>
    <x:t xml:space="preserve">翌週の見送り条件</x:t>
  </x:si>
  <x:si>
    <x:t xml:space="preserve">残すモデル</x:t>
  </x:si>
  <x:si>
    <x:t xml:space="preserve">弱めるモデル</x:t>
  </x:si>
  <x:si>
    <x:t xml:space="preserve">学び</x:t>
  </x:si>
  <x:si>
    <x:t xml:space="preserve">次週アクション</x:t>
  </x:si>
  <x:si>
    <x:t xml:space="preserve">Week 2</x:t>
  </x:si>
  <x:si>
    <x:t xml:space="preserve">Week 3</x:t>
  </x:si>
  <x:si>
    <x:t xml:space="preserve">Week 4</x:t>
  </x:si>
  <x:si>
    <x:t xml:space="preserve">モデル別 銘柄選定（模擬観察候補）</x:t>
  </x:si>
  <x:si>
    <x:r>
      <x:rPr>
        <x:b/>
        <x:sz val="10"/>
        <x:color rgb="FF111827"/>
        <x:rFont val="Noto Sans CJK SC"/>
        <x:family val="2"/>
      </x:rPr>
      <x:t xml:space="preserve">銘柄</x:t>
    </x:r>
    <x:r>
      <x:rPr>
        <x:b/>
        <x:sz val="10"/>
        <x:color rgb="FF111827"/>
        <x:rFont val="Aptos"/>
      </x:rPr>
      <x:t xml:space="preserve">/ETF</x:t>
    </x:r>
  </x:si>
  <x:si>
    <x:t xml:space="preserve">役割</x:t>
  </x:si>
  <x:si>
    <x:t xml:space="preserve">選定理由</x:t>
  </x:si>
  <x:si>
    <x:t xml:space="preserve">観察条件</x:t>
  </x:si>
  <x:si>
    <x:t xml:space="preserve">見送り条件</x:t>
  </x:si>
  <x:si>
    <x:t xml:space="preserve">確認ソース</x:t>
  </x:si>
  <x:si>
    <x:t xml:space="preserve">優先度</x:t>
  </x:si>
  <x:si>
    <x:t xml:space="preserve">リスク最小・高流動性</x:t>
  </x:si>
  <x:si>
    <x:r>
      <x:rPr>
        <x:sz val="10"/>
        <x:rFont val="Aptos"/>
      </x:rPr>
      <x:t xml:space="preserve">3,000</x:t>
    </x:r>
    <x:r>
      <x:rPr>
        <x:sz val="10"/>
        <x:rFont val="Noto Sans CJK SC"/>
        <x:family val="2"/>
      </x:rPr>
      <x:t xml:space="preserve">円割れ、金利低下や銀行セクター悪化</x:t>
    </x:r>
  </x:si>
  <x:si>
    <x:r>
      <x:rPr>
        <x:sz val="10"/>
        <x:rFont val="Aptos"/>
      </x:rPr>
      <x:t xml:space="preserve">SBI</x:t>
    </x:r>
    <x:r>
      <x:rPr>
        <x:sz val="10"/>
        <x:rFont val="Noto Sans CJK SC"/>
        <x:family val="2"/>
      </x:rPr>
      <x:t xml:space="preserve">チャート</x:t>
    </x:r>
    <x:r>
      <x:rPr>
        <x:sz val="10"/>
        <x:rFont val="Aptos"/>
      </x:rPr>
      <x:t xml:space="preserve">/</x:t>
    </x:r>
    <x:r>
      <x:rPr>
        <x:sz val="10"/>
        <x:rFont val="Noto Sans CJK SC"/>
        <x:family val="2"/>
      </x:rPr>
      <x:t xml:space="preserve">金利ニュース</x:t>
    </x:r>
  </x:si>
  <x:si>
    <x:t xml:space="preserve">高</x:t>
  </x:si>
  <x:si>
    <x:r>
      <x:rPr>
        <x:sz val="10"/>
        <x:rFont val="Aptos"/>
      </x:rPr>
      <x:t xml:space="preserve">2,580</x:t>
    </x:r>
    <x:r>
      <x:rPr>
        <x:sz val="10"/>
        <x:rFont val="Noto Sans CJK SC"/>
        <x:family val="2"/>
      </x:rPr>
      <x:t xml:space="preserve">円割れ、ディフェンシブ株まで売られる地合い</x:t>
    </x:r>
  </x:si>
  <x:si>
    <x:r>
      <x:rPr>
        <x:sz val="10"/>
        <x:rFont val="Aptos"/>
      </x:rPr>
      <x:t xml:space="preserve">SBI</x:t>
    </x:r>
    <x:r>
      <x:rPr>
        <x:sz val="10"/>
        <x:rFont val="Noto Sans CJK SC"/>
        <x:family val="2"/>
      </x:rPr>
      <x:t xml:space="preserve">チャート</x:t>
    </x:r>
    <x:r>
      <x:rPr>
        <x:sz val="10"/>
        <x:rFont val="Aptos"/>
      </x:rPr>
      <x:t xml:space="preserve">/</x:t>
    </x:r>
    <x:r>
      <x:rPr>
        <x:sz val="10"/>
        <x:rFont val="Noto Sans CJK SC"/>
        <x:family val="2"/>
      </x:rPr>
      <x:t xml:space="preserve">通信セクター</x:t>
    </x:r>
  </x:si>
  <x:si>
    <x:r>
      <x:rPr>
        <x:sz val="10"/>
        <x:rFont val="Aptos"/>
      </x:rPr>
      <x:t xml:space="preserve">SBI</x:t>
    </x:r>
    <x:r>
      <x:rPr>
        <x:sz val="10"/>
        <x:rFont val="Noto Sans CJK SC"/>
        <x:family val="2"/>
      </x:rPr>
      <x:t xml:space="preserve">チャート</x:t>
    </x:r>
    <x:r>
      <x:rPr>
        <x:sz val="10"/>
        <x:rFont val="Aptos"/>
      </x:rPr>
      <x:t xml:space="preserve">/</x:t>
    </x:r>
    <x:r>
      <x:rPr>
        <x:sz val="10"/>
        <x:rFont val="Noto Sans CJK SC"/>
        <x:family val="2"/>
      </x:rPr>
      <x:t xml:space="preserve">半導体ニュース</x:t>
    </x:r>
  </x:si>
  <x:si>
    <x:t xml:space="preserve">中</x:t>
  </x:si>
  <x:si>
    <x:r>
      <x:rPr>
        <x:sz val="10"/>
        <x:rFont val="Noto Sans CJK SC"/>
        <x:family val="2"/>
      </x:rPr>
      <x:t xml:space="preserve">反発力はあるが値動きが荒く、</x:t>
    </x:r>
    <x:r>
      <x:rPr>
        <x:sz val="10"/>
        <x:rFont val="Aptos"/>
      </x:rPr>
      <x:t xml:space="preserve">100</x:t>
    </x:r>
    <x:r>
      <x:rPr>
        <x:sz val="10"/>
        <x:rFont val="Noto Sans CJK SC"/>
        <x:family val="2"/>
      </x:rPr>
      <x:t xml:space="preserve">万円口座では</x:t>
    </x:r>
    <x:r>
      <x:rPr>
        <x:sz val="10"/>
        <x:rFont val="Aptos"/>
      </x:rPr>
      <x:t xml:space="preserve">S</x:t>
    </x:r>
    <x:r>
      <x:rPr>
        <x:sz val="10"/>
        <x:rFont val="Noto Sans CJK SC"/>
        <x:family val="2"/>
      </x:rPr>
      <x:t xml:space="preserve">株前提</x:t>
    </x:r>
  </x:si>
  <x:si>
    <x:r>
      <x:rPr>
        <x:sz val="10"/>
        <x:rFont val="Aptos"/>
      </x:rPr>
      <x:t xml:space="preserve">26,000</x:t>
    </x:r>
    <x:r>
      <x:rPr>
        <x:sz val="10"/>
        <x:rFont val="Noto Sans CJK SC"/>
        <x:family val="2"/>
      </x:rPr>
      <x:t xml:space="preserve">円を保てない、半導体全体反落</x:t>
    </x:r>
  </x:si>
  <x:si>
    <x:t xml:space="preserve">今週は追わず週末再評価</x:t>
  </x:si>
  <x:si>
    <x:t xml:space="preserve">ソフトバンクグループ</x:t>
  </x:si>
  <x:si>
    <x:r>
      <x:rPr>
        <x:sz val="10"/>
        <x:rFont val="Aptos"/>
      </x:rPr>
      <x:t xml:space="preserve">AI</x:t>
    </x:r>
    <x:r>
      <x:rPr>
        <x:sz val="10"/>
        <x:rFont val="Noto Sans CJK SC"/>
        <x:family val="2"/>
      </x:rPr>
      <x:t xml:space="preserve">ニュース感応度は高いが、高値からの調整中で振られやすい</x:t>
    </x:r>
  </x:si>
  <x:si>
    <x:r>
      <x:rPr>
        <x:sz val="10"/>
        <x:rFont val="Noto Sans CJK SC"/>
        <x:family val="2"/>
      </x:rPr>
      <x:t xml:space="preserve">調整後の反発確認、</x:t>
    </x:r>
    <x:r>
      <x:rPr>
        <x:sz val="10"/>
        <x:rFont val="Aptos"/>
      </x:rPr>
      <x:t xml:space="preserve">AI</x:t>
    </x:r>
    <x:r>
      <x:rPr>
        <x:sz val="10"/>
        <x:rFont val="Noto Sans CJK SC"/>
        <x:family val="2"/>
      </x:rPr>
      <x:t xml:space="preserve">関連ニュースが価格を支える</x:t>
    </x:r>
  </x:si>
  <x:si>
    <x:r>
      <x:rPr>
        <x:sz val="10"/>
        <x:rFont val="Aptos"/>
      </x:rPr>
      <x:t xml:space="preserve">SBI</x:t>
    </x:r>
    <x:r>
      <x:rPr>
        <x:sz val="10"/>
        <x:rFont val="Noto Sans CJK SC"/>
        <x:family val="2"/>
      </x:rPr>
      <x:t xml:space="preserve">チャート</x:t>
    </x:r>
    <x:r>
      <x:rPr>
        <x:sz val="10"/>
        <x:rFont val="Aptos"/>
      </x:rPr>
      <x:t xml:space="preserve">/AI</x:t>
    </x:r>
    <x:r>
      <x:rPr>
        <x:sz val="10"/>
        <x:rFont val="Noto Sans CJK SC"/>
        <x:family val="2"/>
      </x:rPr>
      <x:t xml:space="preserve">ニュース</x:t>
    </x:r>
  </x:si>
  <x:si>
    <x:t xml:space="preserve">ニュースと価格反応が一致するまで待つ</x:t>
  </x:si>
  <x:si>
    <x:t xml:space="preserve">受注や防衛材料は強いが、直近チャートは下降基調で反転確認が弱い</x:t>
  </x:si>
  <x:si>
    <x:t xml:space="preserve">下降継続、材料に株価が反応しない</x:t>
  </x:si>
  <x:si>
    <x:r>
      <x:rPr>
        <x:sz val="10"/>
        <x:rFont val="Aptos"/>
      </x:rPr>
      <x:t xml:space="preserve">SBI</x:t>
    </x:r>
    <x:r>
      <x:rPr>
        <x:sz val="10"/>
        <x:rFont val="Noto Sans CJK SC"/>
        <x:family val="2"/>
      </x:rPr>
      <x:t xml:space="preserve">チャート</x:t>
    </x:r>
    <x:r>
      <x:rPr>
        <x:sz val="10"/>
        <x:rFont val="Aptos"/>
      </x:rPr>
      <x:t xml:space="preserve">/FT</x:t>
    </x:r>
    <x:r>
      <x:rPr>
        <x:sz val="10"/>
        <x:rFont val="Noto Sans CJK SC"/>
        <x:family val="2"/>
      </x:rPr>
      <x:t xml:space="preserve">等ニュース</x:t>
    </x:r>
  </x:si>
  <x:si>
    <x:t xml:space="preserve">材料は継続監視。今は買い候補から外す</x:t>
  </x:si>
  <x:si>
    <x:t xml:space="preserve">低</x:t>
  </x:si>
  <x:si>
    <x:r>
      <x:rPr>
        <x:sz val="10"/>
        <x:rFont val="Aptos"/>
      </x:rPr>
      <x:t xml:space="preserve">AI</x:t>
    </x:r>
    <x:r>
      <x:rPr>
        <x:sz val="10"/>
        <x:rFont val="Noto Sans CJK SC"/>
        <x:family val="2"/>
      </x:rPr>
      <x:t xml:space="preserve">・インフラ材料はあるが、直近は下落が目立ち下げ止まり確認が先</x:t>
    </x:r>
  </x:si>
  <x:si>
    <x:t xml:space="preserve">移動平均回復、下げ止まり確認</x:t>
  </x:si>
  <x:si>
    <x:t xml:space="preserve">下落継続、出来高を伴う下抜け</x:t>
  </x:si>
  <x:si>
    <x:r>
      <x:rPr>
        <x:sz val="10"/>
        <x:rFont val="Aptos"/>
      </x:rPr>
      <x:t xml:space="preserve">SBI</x:t>
    </x:r>
    <x:r>
      <x:rPr>
        <x:sz val="10"/>
        <x:rFont val="Noto Sans CJK SC"/>
        <x:family val="2"/>
      </x:rPr>
      <x:t xml:space="preserve">チャート</x:t>
    </x:r>
    <x:r>
      <x:rPr>
        <x:sz val="10"/>
        <x:rFont val="Aptos"/>
      </x:rPr>
      <x:t xml:space="preserve">/</x:t>
    </x:r>
    <x:r>
      <x:rPr>
        <x:sz val="10"/>
        <x:rFont val="Noto Sans CJK SC"/>
        <x:family val="2"/>
      </x:rPr>
      <x:t xml:space="preserve">決算ニュース</x:t>
    </x:r>
  </x:si>
  <x:si>
    <x:t xml:space="preserve">1306</x:t>
  </x:si>
  <x:si>
    <x:r>
      <x:rPr>
        <x:sz val="10"/>
        <x:rFont val="Aptos"/>
      </x:rPr>
      <x:t xml:space="preserve">TOPIX</x:t>
    </x:r>
    <x:r>
      <x:rPr>
        <x:sz val="10"/>
        <x:rFont val="Noto Sans CJK SC"/>
        <x:family val="2"/>
      </x:rPr>
      <x:t xml:space="preserve">連動型</x:t>
    </x:r>
    <x:r>
      <x:rPr>
        <x:sz val="10"/>
        <x:rFont val="Aptos"/>
      </x:rPr>
      <x:t xml:space="preserve">ETF</x:t>
    </x:r>
  </x:si>
  <x:si>
    <x:r>
      <x:rPr>
        <x:sz val="10"/>
        <x:rFont val="Noto Sans CJK SC"/>
        <x:family val="2"/>
      </x:rPr>
      <x:t xml:space="preserve">日本</x:t>
    </x:r>
    <x:r>
      <x:rPr>
        <x:sz val="10"/>
        <x:rFont val="Aptos"/>
      </x:rPr>
      <x:t xml:space="preserve">ETF</x:t>
    </x:r>
  </x:si>
  <x:si>
    <x:t xml:space="preserve">地合い確認</x:t>
  </x:si>
  <x:si>
    <x:t xml:space="preserve">個別株リスクを抑えて日本株全体の地合いを見る基準</x:t>
  </x:si>
  <x:si>
    <x:r>
      <x:rPr>
        <x:sz val="10"/>
        <x:rFont val="Aptos"/>
      </x:rPr>
      <x:t xml:space="preserve">TOPIX</x:t>
    </x:r>
    <x:r>
      <x:rPr>
        <x:sz val="10"/>
        <x:rFont val="Noto Sans CJK SC"/>
        <x:family val="2"/>
      </x:rPr>
      <x:t xml:space="preserve">が上昇基調、下値切り上げ</x:t>
    </x:r>
  </x:si>
  <x:si>
    <x:t xml:space="preserve">指数が週足で崩れる</x:t>
  </x:si>
  <x:si>
    <x:r>
      <x:rPr>
        <x:sz val="10"/>
        <x:rFont val="Noto Sans CJK SC"/>
        <x:family val="2"/>
      </x:rPr>
      <x:t xml:space="preserve">指数</x:t>
    </x:r>
    <x:r>
      <x:rPr>
        <x:sz val="10"/>
        <x:rFont val="Aptos"/>
      </x:rPr>
      <x:t xml:space="preserve">/ETF</x:t>
    </x:r>
    <x:r>
      <x:rPr>
        <x:sz val="10"/>
        <x:rFont val="Noto Sans CJK SC"/>
        <x:family val="2"/>
      </x:rPr>
      <x:t xml:space="preserve">チャート</x:t>
    </x:r>
  </x:si>
  <x:si>
    <x:t xml:space="preserve">今回は実行候補ではなく比較用</x:t>
  </x:si>
  <x:si>
    <x:t xml:space="preserve">1321</x:t>
  </x:si>
  <x:si>
    <x:r>
      <x:rPr>
        <x:sz val="10"/>
        <x:rFont val="Noto Sans CJK SC"/>
        <x:family val="2"/>
      </x:rPr>
      <x:t xml:space="preserve">日経</x:t>
    </x:r>
    <x:r>
      <x:rPr>
        <x:sz val="10"/>
        <x:rFont val="Aptos"/>
      </x:rPr>
      <x:t xml:space="preserve">225</x:t>
    </x:r>
    <x:r>
      <x:rPr>
        <x:sz val="10"/>
        <x:rFont val="Noto Sans CJK SC"/>
        <x:family val="2"/>
      </x:rPr>
      <x:t xml:space="preserve">連動型</x:t>
    </x:r>
    <x:r>
      <x:rPr>
        <x:sz val="10"/>
        <x:rFont val="Aptos"/>
      </x:rPr>
      <x:t xml:space="preserve">ETF</x:t>
    </x:r>
  </x:si>
  <x:si>
    <x:t xml:space="preserve">大型・値がさ株主導の相場を確認する基準</x:t>
  </x:si>
  <x:si>
    <x:t xml:space="preserve">日経平均が高値圏維持</x:t>
  </x:si>
  <x:si>
    <x:t xml:space="preserve">値がさ半導体の急落が続く</x:t>
  </x:si>
  <x:si>
    <x:t xml:space="preserve">「検索して」依頼時の確認テンプレ</x:t>
  </x:si>
  <x:si>
    <x:t xml:space="preserve">目的</x:t>
  </x:si>
  <x:si>
    <x:t xml:space="preserve">このチャット上で最新データ確認からシミュレーションまで完結する</x:t>
  </x:si>
  <x:si>
    <x:t xml:space="preserve">確認タイミング</x:t>
  </x:si>
  <x:si>
    <x:t xml:space="preserve">ユーザーが「検索して」と依頼した時</x:t>
  </x:si>
  <x:si>
    <x:r>
      <x:rPr>
        <x:sz val="10"/>
        <x:rFont val="Aptos"/>
      </x:rPr>
      <x:t xml:space="preserve">100</x:t>
    </x:r>
    <x:r>
      <x:rPr>
        <x:sz val="10"/>
        <x:rFont val="Noto Sans CJK SC"/>
        <x:family val="2"/>
      </x:rPr>
      <x:t xml:space="preserve">万円。初回は上限一杯に使わず、余剰金を残す</x:t>
    </x:r>
  </x:si>
  <x:si>
    <x:t xml:space="preserve">現在の初回候補</x:t>
  </x:si>
  <x:si>
    <x:r>
      <x:rPr>
        <x:sz val="10"/>
        <x:rFont val="Aptos"/>
      </x:rPr>
      <x:t xml:space="preserve">8306 </x:t>
    </x:r>
    <x:r>
      <x:rPr>
        <x:sz val="10"/>
        <x:rFont val="Noto Sans CJK SC"/>
        <x:family val="2"/>
      </x:rPr>
      <x:t xml:space="preserve">三菱</x:t>
    </x:r>
    <x:r>
      <x:rPr>
        <x:sz val="10"/>
        <x:rFont val="Aptos"/>
      </x:rPr>
      <x:t xml:space="preserve">UFJ FG</x:t>
    </x:r>
    <x:r>
      <x:rPr>
        <x:sz val="10"/>
        <x:rFont val="Noto Sans CJK SC"/>
        <x:family val="2"/>
      </x:rPr>
      <x:t xml:space="preserve">、</x:t>
    </x:r>
    <x:r>
      <x:rPr>
        <x:sz val="10"/>
        <x:rFont val="Aptos"/>
      </x:rPr>
      <x:t xml:space="preserve">9433 KDDI</x:t>
    </x:r>
  </x:si>
  <x:si>
    <x:r>
      <x:rPr>
        <x:sz val="10"/>
        <x:rFont val="Noto Sans CJK SC"/>
        <x:family val="2"/>
      </x:rPr>
      <x:t xml:space="preserve">保留</x:t>
    </x:r>
    <x:r>
      <x:rPr>
        <x:sz val="10"/>
        <x:rFont val="Aptos"/>
      </x:rPr>
      <x:t xml:space="preserve">/</x:t>
    </x:r>
    <x:r>
      <x:rPr>
        <x:sz val="10"/>
        <x:rFont val="Noto Sans CJK SC"/>
        <x:family val="2"/>
      </x:rPr>
      <x:t xml:space="preserve">再評価</x:t>
    </x:r>
  </x:si>
  <x:si>
    <x:r>
      <x:rPr>
        <x:sz val="10"/>
        <x:rFont val="Aptos"/>
      </x:rPr>
      <x:t xml:space="preserve">6857</x:t>
    </x:r>
    <x:r>
      <x:rPr>
        <x:sz val="10"/>
        <x:rFont val="Noto Sans CJK SC"/>
        <x:family val="2"/>
      </x:rPr>
      <x:t xml:space="preserve">、</x:t>
    </x:r>
    <x:r>
      <x:rPr>
        <x:sz val="10"/>
        <x:rFont val="Aptos"/>
      </x:rPr>
      <x:t xml:space="preserve">9984</x:t>
    </x:r>
    <x:r>
      <x:rPr>
        <x:sz val="10"/>
        <x:rFont val="Noto Sans CJK SC"/>
        <x:family val="2"/>
      </x:rPr>
      <x:t xml:space="preserve">、</x:t>
    </x:r>
    <x:r>
      <x:rPr>
        <x:sz val="10"/>
        <x:rFont val="Aptos"/>
      </x:rPr>
      <x:t xml:space="preserve">7011</x:t>
    </x:r>
    <x:r>
      <x:rPr>
        <x:sz val="10"/>
        <x:rFont val="Noto Sans CJK SC"/>
        <x:family val="2"/>
      </x:rPr>
      <x:t xml:space="preserve">、</x:t>
    </x:r>
    <x:r>
      <x:rPr>
        <x:sz val="10"/>
        <x:rFont val="Aptos"/>
      </x:rPr>
      <x:t xml:space="preserve">6501</x:t>
    </x:r>
    <x:r>
      <x:rPr>
        <x:sz val="10"/>
        <x:rFont val="Noto Sans CJK SC"/>
        <x:family val="2"/>
      </x:rPr>
      <x:t xml:space="preserve">、</x:t>
    </x:r>
    <x:r>
      <x:rPr>
        <x:sz val="10"/>
        <x:rFont val="Aptos"/>
      </x:rPr>
      <x:t xml:space="preserve">1306</x:t>
    </x:r>
    <x:r>
      <x:rPr>
        <x:sz val="10"/>
        <x:rFont val="Noto Sans CJK SC"/>
        <x:family val="2"/>
      </x:rPr>
      <x:t xml:space="preserve">、</x:t>
    </x:r>
    <x:r>
      <x:rPr>
        <x:sz val="10"/>
        <x:rFont val="Aptos"/>
      </x:rPr>
      <x:t xml:space="preserve">1321</x:t>
    </x:r>
  </x:si>
  <x:si>
    <x:t xml:space="preserve">判断原則</x:t>
  </x:si>
  <x:si>
    <x:t xml:space="preserve">買い推奨ではなく、模擬運用の候補更新として扱う</x:t>
  </x:si>
  <x:si>
    <x:t xml:space="preserve">出力</x:t>
  </x:si>
  <x:si>
    <x:r>
      <x:rPr>
        <x:sz val="10"/>
        <x:rFont val="Noto Sans CJK SC"/>
        <x:family val="2"/>
      </x:rPr>
      <x:t xml:space="preserve">最新データ、判断、資金配分、損切り</x:t>
    </x:r>
    <x:r>
      <x:rPr>
        <x:sz val="10"/>
        <x:rFont val="Aptos"/>
      </x:rPr>
      <x:t xml:space="preserve">/</x:t>
    </x:r>
    <x:r>
      <x:rPr>
        <x:sz val="10"/>
        <x:rFont val="Noto Sans CJK SC"/>
        <x:family val="2"/>
      </x:rPr>
      <x:t xml:space="preserve">利確、残す現金</x:t>
    </x:r>
  </x:si>
  <x:si>
    <x:t xml:space="preserve">最新価格</x:t>
  </x:si>
  <x:si>
    <x:t xml:space="preserve">前日比</x:t>
  </x:si>
  <x:si>
    <x:r>
      <x:rPr>
        <x:b/>
        <x:sz val="10"/>
        <x:color rgb="FF111827"/>
        <x:rFont val="Noto Sans CJK SC"/>
        <x:family val="2"/>
      </x:rPr>
      <x:t xml:space="preserve">出来高</x:t>
    </x:r>
    <x:r>
      <x:rPr>
        <x:b/>
        <x:sz val="10"/>
        <x:color rgb="FF111827"/>
        <x:rFont val="Aptos"/>
      </x:rPr>
      <x:t xml:space="preserve">/</x:t>
    </x:r>
    <x:r>
      <x:rPr>
        <x:b/>
        <x:sz val="10"/>
        <x:color rgb="FF111827"/>
        <x:rFont val="Noto Sans CJK SC"/>
        <x:family val="2"/>
      </x:rPr>
      <x:t xml:space="preserve">売買代金</x:t>
    </x:r>
  </x:si>
  <x:si>
    <x:r>
      <x:rPr>
        <x:b/>
        <x:sz val="10"/>
        <x:color rgb="FF111827"/>
        <x:rFont val="Noto Sans CJK SC"/>
        <x:family val="2"/>
      </x:rPr>
      <x:t xml:space="preserve">ニュース</x:t>
    </x:r>
    <x:r>
      <x:rPr>
        <x:b/>
        <x:sz val="10"/>
        <x:color rgb="FF111827"/>
        <x:rFont val="Aptos"/>
      </x:rPr>
      <x:t xml:space="preserve">/</x:t>
    </x:r>
    <x:r>
      <x:rPr>
        <x:b/>
        <x:sz val="10"/>
        <x:color rgb="FF111827"/>
        <x:rFont val="Noto Sans CJK SC"/>
        <x:family val="2"/>
      </x:rPr>
      <x:t xml:space="preserve">材料</x:t>
    </x:r>
  </x:si>
  <x:si>
    <x:t xml:space="preserve">チャート判断</x:t>
  </x:si>
  <x:si>
    <x:t xml:space="preserve">今回の判断</x:t>
  </x:si>
  <x:si>
    <x:r>
      <x:rPr>
        <x:sz val="10"/>
        <x:rFont val="Aptos"/>
      </x:rPr>
      <x:t xml:space="preserve">3,220</x:t>
    </x:r>
    <x:r>
      <x:rPr>
        <x:sz val="10"/>
        <x:rFont val="Noto Sans CJK SC"/>
        <x:family val="2"/>
      </x:rPr>
      <x:t xml:space="preserve">円超えなら強気、</x:t>
    </x:r>
    <x:r>
      <x:rPr>
        <x:sz val="10"/>
        <x:rFont val="Aptos"/>
      </x:rPr>
      <x:t xml:space="preserve">3,000</x:t>
    </x:r>
    <x:r>
      <x:rPr>
        <x:sz val="10"/>
        <x:rFont val="Noto Sans CJK SC"/>
        <x:family val="2"/>
      </x:rPr>
      <x:t xml:space="preserve">円割れなら撤退</x:t>
    </x:r>
    <x:r>
      <x:rPr>
        <x:sz val="10"/>
        <x:rFont val="Aptos"/>
      </x:rPr>
      <x:t xml:space="preserve">/</x:t>
    </x:r>
    <x:r>
      <x:rPr>
        <x:sz val="10"/>
        <x:rFont val="Noto Sans CJK SC"/>
        <x:family val="2"/>
      </x:rPr>
      <x:t xml:space="preserve">見送り</x:t>
    </x:r>
  </x:si>
  <x:si>
    <x:r>
      <x:rPr>
        <x:sz val="10"/>
        <x:rFont val="Aptos"/>
      </x:rPr>
      <x:t xml:space="preserve">2,750</x:t>
    </x:r>
    <x:r>
      <x:rPr>
        <x:sz val="10"/>
        <x:rFont val="Noto Sans CJK SC"/>
        <x:family val="2"/>
      </x:rPr>
      <x:t xml:space="preserve">円超えなら強気、</x:t>
    </x:r>
    <x:r>
      <x:rPr>
        <x:sz val="10"/>
        <x:rFont val="Aptos"/>
      </x:rPr>
      <x:t xml:space="preserve">2,580</x:t>
    </x:r>
    <x:r>
      <x:rPr>
        <x:sz val="10"/>
        <x:rFont val="Noto Sans CJK SC"/>
        <x:family val="2"/>
      </x:rPr>
      <x:t xml:space="preserve">円割れなら撤退</x:t>
    </x:r>
    <x:r>
      <x:rPr>
        <x:sz val="10"/>
        <x:rFont val="Aptos"/>
      </x:rPr>
      <x:t xml:space="preserve">/</x:t>
    </x:r>
    <x:r>
      <x:rPr>
        <x:sz val="10"/>
        <x:rFont val="Noto Sans CJK SC"/>
        <x:family val="2"/>
      </x:rPr>
      <x:t xml:space="preserve">見送り</x:t>
    </x:r>
  </x:si>
  <x:si>
    <x:r>
      <x:rPr>
        <x:sz val="10"/>
        <x:rFont val="Aptos"/>
      </x:rPr>
      <x:t xml:space="preserve">65,000</x:t>
    </x:r>
    <x:r>
      <x:rPr>
        <x:sz val="10"/>
        <x:rFont val="Noto Sans CJK SC"/>
        <x:family val="2"/>
      </x:rPr>
      <x:t xml:space="preserve">〜</x:t>
    </x:r>
    <x:r>
      <x:rPr>
        <x:sz val="10"/>
        <x:rFont val="Aptos"/>
      </x:rPr>
      <x:t xml:space="preserve">66,000</x:t>
    </x:r>
    <x:r>
      <x:rPr>
        <x:sz val="10"/>
        <x:rFont val="Noto Sans CJK SC"/>
        <x:family val="2"/>
      </x:rPr>
      <x:t xml:space="preserve">円台の反発、または</x:t>
    </x:r>
    <x:r>
      <x:rPr>
        <x:sz val="10"/>
        <x:rFont val="Aptos"/>
      </x:rPr>
      <x:t xml:space="preserve">70,000</x:t>
    </x:r>
    <x:r>
      <x:rPr>
        <x:sz val="10"/>
        <x:rFont val="Noto Sans CJK SC"/>
        <x:family val="2"/>
      </x:rPr>
      <x:t xml:space="preserve">円超えを確認</x:t>
    </x:r>
  </x:si>
  <x:si>
    <x:r>
      <x:rPr>
        <x:sz val="10"/>
        <x:rFont val="Aptos"/>
      </x:rPr>
      <x:t xml:space="preserve">28,500</x:t>
    </x:r>
    <x:r>
      <x:rPr>
        <x:sz val="10"/>
        <x:rFont val="Noto Sans CJK SC"/>
        <x:family val="2"/>
      </x:rPr>
      <x:t xml:space="preserve">円超えなら再評価、</x:t>
    </x:r>
    <x:r>
      <x:rPr>
        <x:sz val="10"/>
        <x:rFont val="Aptos"/>
      </x:rPr>
      <x:t xml:space="preserve">26,000</x:t>
    </x:r>
    <x:r>
      <x:rPr>
        <x:sz val="10"/>
        <x:rFont val="Noto Sans CJK SC"/>
        <x:family val="2"/>
      </x:rPr>
      <x:t xml:space="preserve">円割れは見送り</x:t>
    </x:r>
  </x:si>
  <x:si>
    <x:r>
      <x:rPr>
        <x:sz val="10"/>
        <x:rFont val="Noto Sans CJK SC"/>
        <x:family val="2"/>
      </x:rPr>
      <x:t xml:space="preserve">調整後の反発と</x:t>
    </x:r>
    <x:r>
      <x:rPr>
        <x:sz val="10"/>
        <x:rFont val="Aptos"/>
      </x:rPr>
      <x:t xml:space="preserve">AI</x:t>
    </x:r>
    <x:r>
      <x:rPr>
        <x:sz val="10"/>
        <x:rFont val="Noto Sans CJK SC"/>
        <x:family val="2"/>
      </x:rPr>
      <x:t xml:space="preserve">ニュースの一致を確認</x:t>
    </x:r>
  </x:si>
  <x:si>
    <x:t xml:space="preserve">下降基調からの反転確認が先</x:t>
  </x:si>
  <x:si>
    <x:t xml:space="preserve">下げ止まりと移動平均回復が先</x:t>
  </x:si>
  <x:si>
    <x:t xml:space="preserve">TOPIX ETF</x:t>
  </x:si>
  <x:si>
    <x:t xml:space="preserve">日本株全体の地合い確認</x:t>
  </x:si>
  <x:si>
    <x:r>
      <x:rPr>
        <x:sz val="10"/>
        <x:rFont val="Noto Sans CJK SC"/>
        <x:family val="2"/>
      </x:rPr>
      <x:t xml:space="preserve">日経</x:t>
    </x:r>
    <x:r>
      <x:rPr>
        <x:sz val="10"/>
        <x:rFont val="Aptos"/>
      </x:rPr>
      <x:t xml:space="preserve">225 ETF</x:t>
    </x:r>
  </x:si>
  <x:si>
    <x:r>
      <x:rPr>
        <x:sz val="10"/>
        <x:rFont val="Noto Sans CJK SC"/>
        <x:family val="2"/>
      </x:rPr>
      <x:t xml:space="preserve">大型株</x:t>
    </x:r>
    <x:r>
      <x:rPr>
        <x:sz val="10"/>
        <x:rFont val="Aptos"/>
      </x:rPr>
      <x:t xml:space="preserve">/</x:t>
    </x:r>
    <x:r>
      <x:rPr>
        <x:sz val="10"/>
        <x:rFont val="Noto Sans CJK SC"/>
        <x:family val="2"/>
      </x:rPr>
      <x:t xml:space="preserve">半導体主導の地合い確認</x:t>
    </x:r>
  </x:si>
  <x:si>
    <x:t xml:space="preserve">シナリオ</x:t>
  </x:si>
  <x:si>
    <x:t xml:space="preserve">現金</x:t>
  </x:si>
  <x:si>
    <x:r>
      <x:rPr>
        <x:b/>
        <x:sz val="10"/>
        <x:color rgb="FF111827"/>
        <x:rFont val="Noto Sans CJK SC"/>
        <x:family val="2"/>
      </x:rPr>
      <x:t xml:space="preserve">採用</x:t>
    </x:r>
    <x:r>
      <x:rPr>
        <x:b/>
        <x:sz val="10"/>
        <x:color rgb="FF111827"/>
        <x:rFont val="Aptos"/>
      </x:rPr>
      <x:t xml:space="preserve">/</x:t>
    </x:r>
    <x:r>
      <x:rPr>
        <x:b/>
        <x:sz val="10"/>
        <x:color rgb="FF111827"/>
        <x:rFont val="Noto Sans CJK SC"/>
        <x:family val="2"/>
      </x:rPr>
      <x:t xml:space="preserve">見送り</x:t>
    </x:r>
  </x:si>
  <x:si>
    <x:t xml:space="preserve">理由</x:t>
  </x:si>
  <x:si>
    <x:r>
      <x:rPr>
        <x:sz val="10"/>
        <x:rFont val="Aptos"/>
      </x:rPr>
      <x:t xml:space="preserve">8306+9433</x:t>
    </x:r>
    <x:r>
      <x:rPr>
        <x:sz val="10"/>
        <x:rFont val="Noto Sans CJK SC"/>
        <x:family val="2"/>
      </x:rPr>
      <x:t xml:space="preserve">のみ</x:t>
    </x:r>
  </x:si>
  <x:si>
    <x:t xml:space="preserve">基本案</x:t>
  </x:si>
  <x:si>
    <x:r>
      <x:rPr>
        <x:sz val="10"/>
        <x:rFont val="Noto Sans CJK SC"/>
        <x:family val="2"/>
      </x:rPr>
      <x:t xml:space="preserve">約</x:t>
    </x:r>
    <x:r>
      <x:rPr>
        <x:sz val="10"/>
        <x:rFont val="Aptos"/>
      </x:rPr>
      <x:t xml:space="preserve">40</x:t>
    </x:r>
    <x:r>
      <x:rPr>
        <x:sz val="10"/>
        <x:rFont val="Noto Sans CJK SC"/>
        <x:family val="2"/>
      </x:rPr>
      <x:t xml:space="preserve">万円を残せる</x:t>
    </x:r>
  </x:si>
  <x:si>
    <x:t xml:space="preserve">8306+9433+8035</x:t>
  </x:si>
  <x:si>
    <x:t xml:space="preserve">条件付き</x:t>
  </x:si>
  <x:si>
    <x:r>
      <x:rPr>
        <x:sz val="10"/>
        <x:rFont val="Aptos"/>
      </x:rPr>
      <x:t xml:space="preserve">8035</x:t>
    </x:r>
    <x:r>
      <x:rPr>
        <x:sz val="10"/>
        <x:rFont val="Noto Sans CJK SC"/>
        <x:family val="2"/>
      </x:rPr>
      <x:t xml:space="preserve">が押し目</x:t>
    </x:r>
    <x:r>
      <x:rPr>
        <x:sz val="10"/>
        <x:rFont val="Aptos"/>
      </x:rPr>
      <x:t xml:space="preserve">/</x:t>
    </x:r>
    <x:r>
      <x:rPr>
        <x:sz val="10"/>
        <x:rFont val="Noto Sans CJK SC"/>
        <x:family val="2"/>
      </x:rPr>
      <x:t xml:space="preserve">再上昇確認できた場合</x:t>
    </x:r>
  </x:si>
  <x:si>
    <x:t xml:space="preserve">全額投入</x:t>
  </x:si>
  <x:si>
    <x:t xml:space="preserve">原則見送り</x:t>
  </x:si>
  <x:si>
    <x:t xml:space="preserve">余剰資金を残す方針に反する</x:t>
  </x:si>
  <x:si>
    <x:t xml:space="preserve">返答テンプレ</x:t>
  </x:si>
  <x:si>
    <x:r>
      <x:rPr>
        <x:sz val="10"/>
        <x:rFont val="Noto Sans CJK SC"/>
        <x:family val="2"/>
      </x:rPr>
      <x:t xml:space="preserve">今日の検索結果では、実行候補</x:t>
    </x:r>
    <x:r>
      <x:rPr>
        <x:sz val="10"/>
        <x:rFont val="Aptos"/>
      </x:rPr>
      <x:t xml:space="preserve">/</x:t>
    </x:r>
    <x:r>
      <x:rPr>
        <x:sz val="10"/>
        <x:rFont val="Noto Sans CJK SC"/>
        <x:family val="2"/>
      </x:rPr>
      <x:t xml:space="preserve">見送り候補を以下の通り更新します。</x:t>
    </x:r>
  </x:si>
  <x:si>
    <x:t xml:space="preserve">1</x:t>
  </x:si>
  <x:si>
    <x:t xml:space="preserve">最新価格とチャート形状</x:t>
  </x:si>
  <x:si>
    <x:t xml:space="preserve">2</x:t>
  </x:si>
  <x:si>
    <x:r>
      <x:rPr>
        <x:sz val="10"/>
        <x:rFont val="Noto Sans CJK SC"/>
        <x:family val="2"/>
      </x:rPr>
      <x:t xml:space="preserve">ニュース</x:t>
    </x:r>
    <x:r>
      <x:rPr>
        <x:sz val="10"/>
        <x:rFont val="Aptos"/>
      </x:rPr>
      <x:t xml:space="preserve">/</x:t>
    </x:r>
    <x:r>
      <x:rPr>
        <x:sz val="10"/>
        <x:rFont val="Noto Sans CJK SC"/>
        <x:family val="2"/>
      </x:rPr>
      <x:t xml:space="preserve">決算</x:t>
    </x:r>
    <x:r>
      <x:rPr>
        <x:sz val="10"/>
        <x:rFont val="Aptos"/>
      </x:rPr>
      <x:t xml:space="preserve">/</x:t>
    </x:r>
    <x:r>
      <x:rPr>
        <x:sz val="10"/>
        <x:rFont val="Noto Sans CJK SC"/>
        <x:family val="2"/>
      </x:rPr>
      <x:t xml:space="preserve">セクター材料</x:t>
    </x:r>
  </x:si>
  <x:si>
    <x:t xml:space="preserve">3</x:t>
  </x:si>
  <x:si>
    <x:r>
      <x:rPr>
        <x:sz val="10"/>
        <x:rFont val="Aptos"/>
      </x:rPr>
      <x:t xml:space="preserve">100</x:t>
    </x:r>
    <x:r>
      <x:rPr>
        <x:sz val="10"/>
        <x:rFont val="Noto Sans CJK SC"/>
        <x:family val="2"/>
      </x:rPr>
      <x:t xml:space="preserve">万円前提の投資額と残す現金</x:t>
    </x:r>
  </x:si>
  <x:si>
    <x:t xml:space="preserve">4</x:t>
  </x:si>
  <x:si>
    <x:r>
      <x:rPr>
        <x:sz val="10"/>
        <x:rFont val="Noto Sans CJK SC"/>
        <x:family val="2"/>
      </x:rPr>
      <x:t xml:space="preserve">損切り</x:t>
    </x:r>
    <x:r>
      <x:rPr>
        <x:sz val="10"/>
        <x:rFont val="Aptos"/>
      </x:rPr>
      <x:t xml:space="preserve">/</x:t>
    </x:r>
    <x:r>
      <x:rPr>
        <x:sz val="10"/>
        <x:rFont val="Noto Sans CJK SC"/>
        <x:family val="2"/>
      </x:rPr>
      <x:t xml:space="preserve">利確シナリオ</x:t>
    </x:r>
  </x:si>
  <x:si>
    <x:t xml:space="preserve">5</x:t>
  </x:si>
  <x:si>
    <x:t xml:space="preserve">買わない条件</x:t>
  </x:si>
  <x:si>
    <x:t xml:space="preserve">6</x:t>
  </x:si>
  <x:si>
    <x:t xml:space="preserve">次回検索までの監視価格</x:t>
  </x:si>
  <x:si>
    <x:t xml:space="preserve">注意</x:t>
  </x:si>
  <x:si>
    <x:t xml:space="preserve">このチャット内で完結し、証券会社アプリは補助として扱う</x:t>
  </x:si>
  <x:si>
    <x:r>
      <x:rPr>
        <x:b/>
        <x:sz val="10"/>
        <x:color rgb="FFFFFFFF"/>
        <x:rFont val="Aptos"/>
      </x:rPr>
      <x:t xml:space="preserve">AI</x:t>
    </x:r>
    <x:r>
      <x:rPr>
        <x:b/>
        <x:sz val="10"/>
        <x:color rgb="FFFFFFFF"/>
        <x:rFont val="Noto Sans CJK SC"/>
        <x:family val="2"/>
      </x:rPr>
      <x:t xml:space="preserve">プロンプト集</x:t>
    </x:r>
  </x:si>
  <x:si>
    <x:t xml:space="preserve">用途</x:t>
  </x:si>
  <x:si>
    <x:t xml:space="preserve">使うタイミング</x:t>
  </x:si>
  <x:si>
    <x:t xml:space="preserve">プロンプト</x:t>
  </x:si>
  <x:si>
    <x:t xml:space="preserve">出力形式</x:t>
  </x:si>
  <x:si>
    <x:t xml:space="preserve">市場環境チェック</x:t>
  </x:si>
  <x:si>
    <x:t xml:space="preserve">週末</x:t>
  </x:si>
  <x:si>
    <x:t xml:space="preserve">今週の株式市場を、指数、金利、為替、セクター、リスクイベントに分けて整理してください。売買推奨ではなく、来週のスイング候補を探す前提条件として、強い領域・弱い領域・避けるべき条件を表で出してください。</x:t>
  </x:si>
  <x:si>
    <x:r>
      <x:rPr>
        <x:sz val="10"/>
        <x:rFont val="Noto Sans CJK SC"/>
        <x:family val="2"/>
      </x:rPr>
      <x:t xml:space="preserve">強い</x:t>
    </x:r>
    <x:r>
      <x:rPr>
        <x:sz val="10"/>
        <x:rFont val="Aptos"/>
      </x:rPr>
      <x:t xml:space="preserve">/</x:t>
    </x:r>
    <x:r>
      <x:rPr>
        <x:sz val="10"/>
        <x:rFont val="Noto Sans CJK SC"/>
        <x:family val="2"/>
      </x:rPr>
      <x:t xml:space="preserve">弱い</x:t>
    </x:r>
    <x:r>
      <x:rPr>
        <x:sz val="10"/>
        <x:rFont val="Aptos"/>
      </x:rPr>
      <x:t xml:space="preserve">/</x:t>
    </x:r>
    <x:r>
      <x:rPr>
        <x:sz val="10"/>
        <x:rFont val="Noto Sans CJK SC"/>
        <x:family val="2"/>
      </x:rPr>
      <x:t xml:space="preserve">注意</x:t>
    </x:r>
    <x:r>
      <x:rPr>
        <x:sz val="10"/>
        <x:rFont val="Aptos"/>
      </x:rPr>
      <x:t xml:space="preserve">/</x:t>
    </x:r>
    <x:r>
      <x:rPr>
        <x:sz val="10"/>
        <x:rFont val="Noto Sans CJK SC"/>
        <x:family val="2"/>
      </x:rPr>
      <x:t xml:space="preserve">来週の見送り条件</x:t>
    </x:r>
  </x:si>
  <x:si>
    <x:t xml:space="preserve">銘柄スクリーニング</x:t>
  </x:si>
  <x:si>
    <x:t xml:space="preserve">以下の候補銘柄を、トレンド、出来高、材料、決算、流動性、損切りの置きやすさで採点してください。買い推奨ではなく、模擬運用候補として順位付けし、除外理由を重視してください。</x:t>
  </x:si>
  <x:si>
    <x:t xml:space="preserve">銘柄別スコア、除外理由、確認すべきデータ</x:t>
  </x:si>
  <x:si>
    <x:t xml:space="preserve">決算・ニュース要約</x:t>
  </x:si>
  <x:si>
    <x:t xml:space="preserve">候補選定時</x:t>
  </x:si>
  <x:si>
    <x:r>
      <x:rPr>
        <x:sz val="10"/>
        <x:rFont val="Noto Sans CJK SC"/>
        <x:family val="2"/>
      </x:rPr>
      <x:t xml:space="preserve">この決算資料またはニュースを、株価に影響し得るポジティブ要因、ネガティブ要因、一過性要因、未確認リスクに分けて要約してください。最後に、価格モメンタムを支持するかを</x:t>
    </x:r>
    <x:r>
      <x:rPr>
        <x:sz val="10"/>
        <x:rFont val="Aptos"/>
      </x:rPr>
      <x:t xml:space="preserve">0</x:t>
    </x:r>
    <x:r>
      <x:rPr>
        <x:sz val="10"/>
        <x:rFont val="Noto Sans CJK SC"/>
        <x:family val="2"/>
      </x:rPr>
      <x:t xml:space="preserve">〜</x:t>
    </x:r>
    <x:r>
      <x:rPr>
        <x:sz val="10"/>
        <x:rFont val="Aptos"/>
      </x:rPr>
      <x:t xml:space="preserve">5</x:t>
    </x:r>
    <x:r>
      <x:rPr>
        <x:sz val="10"/>
        <x:rFont val="Noto Sans CJK SC"/>
        <x:family val="2"/>
      </x:rPr>
      <x:t xml:space="preserve">点で評価してください。</x:t>
    </x:r>
  </x:si>
  <x:si>
    <x:r>
      <x:rPr>
        <x:sz val="10"/>
        <x:rFont val="Noto Sans CJK SC"/>
        <x:family val="2"/>
      </x:rPr>
      <x:t xml:space="preserve">要因別要約、</x:t>
    </x:r>
    <x:r>
      <x:rPr>
        <x:sz val="10"/>
        <x:rFont val="Aptos"/>
      </x:rPr>
      <x:t xml:space="preserve">0</x:t>
    </x:r>
    <x:r>
      <x:rPr>
        <x:sz val="10"/>
        <x:rFont val="Noto Sans CJK SC"/>
        <x:family val="2"/>
      </x:rPr>
      <x:t xml:space="preserve">〜</x:t>
    </x:r>
    <x:r>
      <x:rPr>
        <x:sz val="10"/>
        <x:rFont val="Aptos"/>
      </x:rPr>
      <x:t xml:space="preserve">5</x:t>
    </x:r>
    <x:r>
      <x:rPr>
        <x:sz val="10"/>
        <x:rFont val="Noto Sans CJK SC"/>
        <x:family val="2"/>
      </x:rPr>
      <x:t xml:space="preserve">点、注意点</x:t>
    </x:r>
  </x:si>
  <x:si>
    <x:t xml:space="preserve">売買計画レビュー</x:t>
  </x:si>
  <x:si>
    <x:t xml:space="preserve">仮想エントリー前</x:t>
  </x:si>
  <x:si>
    <x:t xml:space="preserve">この模擬取引計画をレビューしてください。エントリー理由、損切り、利確、ポジションサイズ、見送り条件の曖昧さを指摘し、ルール違反があれば明示してください。</x:t>
  </x:si>
  <x:si>
    <x:r>
      <x:rPr>
        <x:sz val="10"/>
        <x:rFont val="Aptos"/>
      </x:rPr>
      <x:t xml:space="preserve">OK/</x:t>
    </x:r>
    <x:r>
      <x:rPr>
        <x:sz val="10"/>
        <x:rFont val="Noto Sans CJK SC"/>
        <x:family val="2"/>
      </x:rPr>
      <x:t xml:space="preserve">要修正、修正点、見送り条件</x:t>
    </x:r>
  </x:si>
  <x:si>
    <x:t xml:space="preserve">週末振り返り</x:t>
  </x:si>
  <x:si>
    <x:t xml:space="preserve">毎週末</x:t>
  </x:si>
  <x:si>
    <x:t xml:space="preserve">今週の模擬取引ログをもとに、モデル別の良かった点、悪かった点、ルール逸脱、翌週に残すべきモデルを整理してください。損益よりも再現性と損失管理を重視してください。</x:t>
  </x:si>
  <x:si>
    <x:t xml:space="preserve">モデル別評価、改善点、翌週の方針</x:t>
  </x:si>
  <x:si>
    <x:r>
      <x:rPr>
        <x:b/>
        <x:sz val="10"/>
        <x:color rgb="FFFFFFFF"/>
        <x:rFont val="Aptos"/>
      </x:rPr>
      <x:t xml:space="preserve">1</x:t>
    </x:r>
    <x:r>
      <x:rPr>
        <x:b/>
        <x:sz val="10"/>
        <x:color rgb="FFFFFFFF"/>
        <x:rFont val="Noto Sans CJK SC"/>
        <x:family val="2"/>
      </x:rPr>
      <x:t xml:space="preserve">ヶ月シミュレーション基本ルール</x:t>
    </x:r>
  </x:si>
  <x:si>
    <x:r>
      <x:rPr>
        <x:b/>
        <x:sz val="10"/>
        <x:color rgb="FF111827"/>
        <x:rFont val="Aptos"/>
      </x:rPr>
      <x:t xml:space="preserve">5</x:t>
    </x:r>
    <x:r>
      <x:rPr>
        <x:b/>
        <x:sz val="10"/>
        <x:color rgb="FF111827"/>
        <x:rFont val="Noto Sans CJK SC"/>
        <x:family val="2"/>
      </x:rPr>
      <x:t xml:space="preserve">つの売買モデルを同じ条件で観察し、</x:t>
    </x:r>
    <x:r>
      <x:rPr>
        <x:b/>
        <x:sz val="10"/>
        <x:color rgb="FF111827"/>
        <x:rFont val="Aptos"/>
      </x:rPr>
      <x:t xml:space="preserve">1</x:t>
    </x:r>
    <x:r>
      <x:rPr>
        <x:b/>
        <x:sz val="10"/>
        <x:color rgb="FF111827"/>
        <x:rFont val="Noto Sans CJK SC"/>
        <x:family val="2"/>
      </x:rPr>
      <x:t xml:space="preserve">ヶ月後に残すモデルを選ぶ</x:t>
    </x:r>
  </x:si>
  <x:si>
    <x:t xml:space="preserve">期間</x:t>
  </x:si>
  <x:si>
    <x:r>
      <x:rPr>
        <x:sz val="10"/>
        <x:rFont val="Aptos"/>
      </x:rPr>
      <x:t xml:space="preserve">2026-06-14</x:t>
    </x:r>
    <x:r>
      <x:rPr>
        <x:sz val="10"/>
        <x:rFont val="Noto Sans CJK SC"/>
        <x:family val="2"/>
      </x:rPr>
      <x:t xml:space="preserve">開始。</x:t>
    </x:r>
    <x:r>
      <x:rPr>
        <x:sz val="10"/>
        <x:rFont val="Aptos"/>
      </x:rPr>
      <x:t xml:space="preserve">4</x:t>
    </x:r>
    <x:r>
      <x:rPr>
        <x:sz val="10"/>
        <x:rFont val="Noto Sans CJK SC"/>
        <x:family val="2"/>
      </x:rPr>
      <x:t xml:space="preserve">週間の模擬運用を想定</x:t>
    </x:r>
  </x:si>
  <x:si>
    <x:t xml:space="preserve">原則なし。記録は仮想エントリー／仮想決済として扱う</x:t>
  </x:si>
  <x:si>
    <x:t xml:space="preserve">推奨対象</x:t>
  </x:si>
  <x:si>
    <x:r>
      <x:rPr>
        <x:sz val="10"/>
        <x:rFont val="Noto Sans CJK SC"/>
        <x:family val="2"/>
      </x:rPr>
      <x:t xml:space="preserve">まずは流動性の高い日本株・米国株・</x:t>
    </x:r>
    <x:r>
      <x:rPr>
        <x:sz val="10"/>
        <x:rFont val="Aptos"/>
      </x:rPr>
      <x:t xml:space="preserve">ETF</x:t>
    </x:r>
    <x:r>
      <x:rPr>
        <x:sz val="10"/>
        <x:rFont val="Noto Sans CJK SC"/>
        <x:family val="2"/>
      </x:rPr>
      <x:t xml:space="preserve">から選ぶ</x:t>
    </x:r>
  </x:si>
  <x:si>
    <x:r>
      <x:rPr>
        <x:sz val="10"/>
        <x:rFont val="Aptos"/>
      </x:rPr>
      <x:t xml:space="preserve">1</x:t>
    </x:r>
    <x:r>
      <x:rPr>
        <x:sz val="10"/>
        <x:rFont val="Noto Sans CJK SC"/>
        <x:family val="2"/>
      </x:rPr>
      <x:t xml:space="preserve">回の最大損失</x:t>
    </x:r>
  </x:si>
  <x:si>
    <x:r>
      <x:rPr>
        <x:sz val="10"/>
        <x:rFont val="Noto Sans CJK SC"/>
        <x:family val="2"/>
      </x:rPr>
      <x:t xml:space="preserve">総資金の</x:t>
    </x:r>
    <x:r>
      <x:rPr>
        <x:sz val="10"/>
        <x:rFont val="Aptos"/>
      </x:rPr>
      <x:t xml:space="preserve">0.5%</x:t>
    </x:r>
    <x:r>
      <x:rPr>
        <x:sz val="10"/>
        <x:rFont val="Noto Sans CJK SC"/>
        <x:family val="2"/>
      </x:rPr>
      <x:t xml:space="preserve">〜</x:t>
    </x:r>
    <x:r>
      <x:rPr>
        <x:sz val="10"/>
        <x:rFont val="Aptos"/>
      </x:rPr>
      <x:t xml:space="preserve">1.0%</x:t>
    </x:r>
    <x:r>
      <x:rPr>
        <x:sz val="10"/>
        <x:rFont val="Noto Sans CJK SC"/>
        <x:family val="2"/>
      </x:rPr>
      <x:t xml:space="preserve">を上限目安</x:t>
    </x:r>
  </x:si>
  <x:si>
    <x:t xml:space="preserve">同時観察数</x:t>
  </x:si>
  <x:si>
    <x:r>
      <x:rPr>
        <x:sz val="10"/>
        <x:rFont val="Noto Sans CJK SC"/>
        <x:family val="2"/>
      </x:rPr>
      <x:t xml:space="preserve">各モデル</x:t>
    </x:r>
    <x:r>
      <x:rPr>
        <x:sz val="10"/>
        <x:rFont val="Aptos"/>
      </x:rPr>
      <x:t xml:space="preserve">3</x:t>
    </x:r>
    <x:r>
      <x:rPr>
        <x:sz val="10"/>
        <x:rFont val="Noto Sans CJK SC"/>
        <x:family val="2"/>
      </x:rPr>
      <x:t xml:space="preserve">〜</x:t>
    </x:r>
    <x:r>
      <x:rPr>
        <x:sz val="10"/>
        <x:rFont val="Aptos"/>
      </x:rPr>
      <x:t xml:space="preserve">5</x:t>
    </x:r>
    <x:r>
      <x:rPr>
        <x:sz val="10"/>
        <x:rFont val="Noto Sans CJK SC"/>
        <x:family val="2"/>
      </x:rPr>
      <x:t xml:space="preserve">候補まで</x:t>
    </x:r>
  </x:si>
  <x:si>
    <x:t xml:space="preserve">禁止</x:t>
  </x:si>
  <x:si>
    <x:r>
      <x:rPr>
        <x:sz val="10"/>
        <x:rFont val="Noto Sans CJK SC"/>
        <x:family val="2"/>
      </x:rPr>
      <x:t xml:space="preserve">損切りなし、ナンピン前提、</x:t>
    </x:r>
    <x:r>
      <x:rPr>
        <x:sz val="10"/>
        <x:rFont val="Aptos"/>
      </x:rPr>
      <x:t xml:space="preserve">SNS</x:t>
    </x:r>
    <x:r>
      <x:rPr>
        <x:sz val="10"/>
        <x:rFont val="Noto Sans CJK SC"/>
        <x:family val="2"/>
      </x:rPr>
      <x:t xml:space="preserve">人気だけの採用、</x:t>
    </x:r>
    <x:r>
      <x:rPr>
        <x:sz val="10"/>
        <x:rFont val="Aptos"/>
      </x:rPr>
      <x:t xml:space="preserve">AI</x:t>
    </x:r>
    <x:r>
      <x:rPr>
        <x:sz val="10"/>
        <x:rFont val="Noto Sans CJK SC"/>
        <x:family val="2"/>
      </x:rPr>
      <x:t xml:space="preserve">丸投げ</x:t>
    </x:r>
  </x:si>
  <x:si>
    <x:t xml:space="preserve">週末作業</x:t>
  </x:si>
  <x:si>
    <x:t xml:space="preserve">候補更新、ルール逸脱確認、翌週の見送り条件を決める</x:t>
  </x:si>
  <x:si>
    <x:t xml:space="preserve">平日作業</x:t>
  </x:si>
  <x:si>
    <x:t xml:space="preserve">価格・ニュース・損切り条件だけ確認</x:t>
  </x:si>
  <x:si>
    <x:t xml:space="preserve">判断基準</x:t>
  </x:si>
  <x:si>
    <x:t xml:space="preserve">収益より、損失管理・再現性・自分が運用できるかを重視</x:t>
  </x:si>
  <x:si>
    <x:t xml:space="preserve">チェック</x:t>
  </x:si>
  <x:si>
    <x:t xml:space="preserve">項目</x:t>
  </x:si>
  <x:si>
    <x:t xml:space="preserve">Actual</x:t>
  </x:si>
  <x:si>
    <x:t xml:space="preserve">Expected</x:t>
  </x:si>
  <x:si>
    <x:t xml:space="preserve">差分</x:t>
  </x:si>
  <x:si>
    <x:t xml:space="preserve">Status</x:t>
  </x:si>
  <x:si>
    <x:t xml:space="preserve">Notes</x:t>
  </x:si>
  <x:si>
    <x:r>
      <x:rPr>
        <x:sz val="10"/>
        <x:rFont val="Aptos"/>
      </x:rPr>
      <x:t xml:space="preserve">Model ID</x:t>
    </x:r>
    <x:r>
      <x:rPr>
        <x:sz val="10"/>
        <x:rFont val="Noto Sans CJK SC"/>
        <x:family val="2"/>
      </x:rPr>
      <x:t xml:space="preserve">が未入力の取引</x:t>
    </x:r>
  </x:si>
  <x:si>
    <x:r>
      <x:rPr>
        <x:sz val="10"/>
        <x:rFont val="Aptos"/>
      </x:rPr>
      <x:t xml:space="preserve">Trade Log</x:t>
    </x:r>
    <x:r>
      <x:rPr>
        <x:sz val="10"/>
        <x:rFont val="Noto Sans CJK SC"/>
        <x:family val="2"/>
      </x:rPr>
      <x:t xml:space="preserve">の</x:t>
    </x:r>
    <x:r>
      <x:rPr>
        <x:sz val="10"/>
        <x:rFont val="Aptos"/>
      </x:rPr>
      <x:t xml:space="preserve">C</x:t>
    </x:r>
    <x:r>
      <x:rPr>
        <x:sz val="10"/>
        <x:rFont val="Noto Sans CJK SC"/>
        <x:family val="2"/>
      </x:rPr>
      <x:t xml:space="preserve">列</x:t>
    </x:r>
  </x:si>
  <x:si>
    <x:r>
      <x:rPr>
        <x:sz val="10"/>
        <x:rFont val="Aptos"/>
      </x:rPr>
      <x:t xml:space="preserve">Entry/Stop</x:t>
    </x:r>
    <x:r>
      <x:rPr>
        <x:sz val="10"/>
        <x:rFont val="Noto Sans CJK SC"/>
        <x:family val="2"/>
      </x:rPr>
      <x:t xml:space="preserve">入力時の想定損失率</x:t>
    </x:r>
  </x:si>
  <x:si>
    <x:t xml:space="preserve">算出</x:t>
  </x:si>
  <x:si>
    <x:r>
      <x:rPr>
        <x:sz val="10"/>
        <x:rFont val="Aptos"/>
      </x:rPr>
      <x:t xml:space="preserve">K</x:t>
    </x:r>
    <x:r>
      <x:rPr>
        <x:sz val="10"/>
        <x:rFont val="Noto Sans CJK SC"/>
        <x:family val="2"/>
      </x:rPr>
      <x:t xml:space="preserve">列が空なら未完成</x:t>
    </x:r>
  </x:si>
  <x:si>
    <x:t xml:space="preserve">完了取引の損益率</x:t>
  </x:si>
  <x:si>
    <x:r>
      <x:rPr>
        <x:sz val="10"/>
        <x:rFont val="Aptos"/>
      </x:rPr>
      <x:t xml:space="preserve">N</x:t>
    </x:r>
    <x:r>
      <x:rPr>
        <x:sz val="10"/>
        <x:rFont val="Noto Sans CJK SC"/>
        <x:family val="2"/>
      </x:rPr>
      <x:t xml:space="preserve">列が空なら未完成</x:t>
    </x:r>
  </x:si>
  <x:si>
    <x:t xml:space="preserve">重大なルール逸脱</x:t>
  </x:si>
  <x:si>
    <x:r>
      <x:rPr>
        <x:sz val="10"/>
        <x:rFont val="Aptos"/>
      </x:rPr>
      <x:t xml:space="preserve">R</x:t>
    </x:r>
    <x:r>
      <x:rPr>
        <x:sz val="10"/>
        <x:rFont val="Noto Sans CJK SC"/>
        <x:family val="2"/>
      </x:rPr>
      <x:t xml:space="preserve">列が重大の件数</x:t>
    </x:r>
  </x:si>
  <x:si>
    <x:t xml:space="preserve">レビュー週数</x:t>
  </x:si>
  <x:si>
    <x:r>
      <x:rPr>
        <x:sz val="10"/>
        <x:rFont val="Aptos"/>
      </x:rPr>
      <x:t xml:space="preserve">Weekly Review</x:t>
    </x:r>
    <x:r>
      <x:rPr>
        <x:sz val="10"/>
        <x:rFont val="Noto Sans CJK SC"/>
        <x:family val="2"/>
      </x:rPr>
      <x:t xml:space="preserve">は</x:t>
    </x:r>
    <x:r>
      <x:rPr>
        <x:sz val="10"/>
        <x:rFont val="Aptos"/>
      </x:rPr>
      <x:t xml:space="preserve">4</x:t>
    </x:r>
    <x:r>
      <x:rPr>
        <x:sz val="10"/>
        <x:rFont val="Noto Sans CJK SC"/>
        <x:family val="2"/>
      </x:rPr>
      <x:t xml:space="preserve">週分</x:t>
    </x:r>
  </x:si>
</x:sst>
</file>

<file path=xl/styles.xml><?xml version="1.0" encoding="utf-8"?>
<x:styleSheet xmlns:x="http://schemas.openxmlformats.org/spreadsheetml/2006/main">
  <x:numFmts count="12">
    <x:numFmt numFmtId="164" formatCode="General"/>
    <x:numFmt numFmtId="165" formatCode="#,##0;\(#,##0\);\-"/>
    <x:numFmt numFmtId="166" formatCode="#,##0.00"/>
    <x:numFmt numFmtId="167" formatCode="0.0%"/>
    <x:numFmt numFmtId="200" formatCode="yyyy-mm-dd"/>
    <x:numFmt numFmtId="201" formatCode="0.0%;[Red](0.0%)"/>
    <x:numFmt numFmtId="202" formatCode="#,##0;[Red](#,##0)"/>
    <x:numFmt numFmtId="203" formatCode="0%"/>
    <x:numFmt numFmtId="204" formatCode="0.00%;[Red](0.00%)"/>
    <x:numFmt numFmtId="205" formatCode="0.00x;[Red](0.00x)"/>
    <x:numFmt numFmtId="206" formatCode="0.0"/>
    <x:numFmt numFmtId="207" formatCode="0.0x"/>
  </x:numFmts>
  <x:fonts count="25">
    <x:font>
      <x:sz val="10"/>
      <x:name val="Arial"/>
    </x:font>
    <x:font>
      <x:sz val="10"/>
      <x:name val="Arial"/>
    </x:font>
    <x:font>
      <x:sz val="10"/>
      <x:name val="Arial"/>
    </x:font>
    <x:font>
      <x:sz val="10"/>
      <x:name val="Arial"/>
    </x:font>
    <x:font>
      <x:sz val="11"/>
      <x:name val="Calibri"/>
    </x:font>
    <x:font>
      <x:b/>
      <x:sz val="10"/>
      <x:color rgb="FFFFFFFF"/>
      <x:name val="Aptos"/>
    </x:font>
    <x:font>
      <x:b/>
      <x:sz val="10"/>
      <x:color rgb="FFFFFFFF"/>
      <x:name val="Noto Sans CJK SC"/>
    </x:font>
    <x:font>
      <x:sz val="10"/>
      <x:name val="Aptos"/>
    </x:font>
    <x:font>
      <x:sz val="10"/>
      <x:name val="Noto Sans CJK SC"/>
    </x:font>
    <x:font>
      <x:b/>
      <x:sz val="10"/>
      <x:color rgb="FF111827"/>
      <x:name val="Aptos"/>
    </x:font>
    <x:font>
      <x:b/>
      <x:sz val="10"/>
      <x:color rgb="FF111827"/>
      <x:name val="Noto Sans CJK SC"/>
    </x:font>
    <x:font>
      <x:b/>
      <x:sz val="18"/>
      <x:color rgb="FF000000"/>
      <x:name val="Calibri"/>
    </x:font>
    <x:font>
      <x:sz val="10"/>
      <x:color rgb="FF000000"/>
      <x:name val="Calibri"/>
    </x:font>
    <x:font>
      <x:b/>
      <x:sz val="14"/>
      <x:name val="Noto Sans CJK SC"/>
    </x:font>
    <x:font>
      <x:b/>
      <x:sz val="14"/>
      <x:name val="Arial"/>
    </x:font>
    <x:font>
      <x:sz val="11"/>
      <x:name val="Noto Sans CJK SC"/>
    </x:font>
    <x:font>
      <x:sz val="11"/>
      <x:name val="Arial"/>
    </x:font>
    <x:font>
      <x:b/>
      <x:sz val="11"/>
      <x:name val="Noto Sans CJK SC"/>
    </x:font>
    <x:font>
      <x:b/>
      <x:sz val="11"/>
      <x:name val="Arial"/>
    </x:font>
    <x:font>
      <x:sz val="11"/>
      <x:color rgb="FF0000FF"/>
      <x:name val="Arial"/>
    </x:font>
    <x:font>
      <x:b/>
      <x:sz val="14"/>
      <x:color rgb="FFFFFFFF"/>
      <x:name val="Arial"/>
    </x:font>
    <x:font>
      <x:i/>
      <x:sz val="10"/>
      <x:color rgb="FF666666"/>
      <x:name val="Arial"/>
    </x:font>
    <x:font>
      <x:b/>
      <x:sz val="10"/>
      <x:color rgb="FF1F1F1F"/>
      <x:name val="Arial"/>
    </x:font>
    <x:font>
      <x:b/>
      <x:sz val="10"/>
      <x:color rgb="FFFFFFFF"/>
      <x:name val="Arial"/>
    </x:font>
    <x:font>
      <x:sz val="10"/>
      <x:color rgb="FF0070C0"/>
      <x:name val="Arial"/>
    </x:font>
  </x:fonts>
  <x:fills count="23">
    <x:fill>
      <x:patternFill patternType="none"/>
    </x:fill>
    <x:fill>
      <x:patternFill patternType="gray125"/>
    </x:fill>
    <x:fill>
      <x:patternFill patternType="solid">
        <x:fgColor rgb="FF1F3A5F"/>
      </x:patternFill>
    </x:fill>
    <x:fill>
      <x:patternFill patternType="solid">
        <x:fgColor rgb="FFFFF7E6"/>
      </x:patternFill>
    </x:fill>
    <x:fill>
      <x:patternFill patternType="solid">
        <x:fgColor rgb="FF0F766E"/>
      </x:patternFill>
    </x:fill>
    <x:fill>
      <x:patternFill patternType="solid">
        <x:fgColor rgb="FFEAF2FF"/>
      </x:patternFill>
    </x:fill>
    <x:fill>
      <x:patternFill patternType="solid">
        <x:fgColor rgb="FFF59E0B"/>
      </x:patternFill>
    </x:fill>
    <x:fill>
      <x:patternFill patternType="solid">
        <x:fgColor rgb="FFFFFF00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FFF2CC"/>
      </x:patternFill>
    </x:fill>
    <x:fill>
      <x:patternFill patternType="solid">
        <x:fgColor rgb="FFDDEBF7"/>
      </x:patternFill>
    </x:fill>
    <x:fill>
      <x:patternFill patternType="solid">
        <x:fgColor rgb="FFE2F0D9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FFF2CC"/>
      </x:patternFill>
    </x:fill>
    <x:fill>
      <x:patternFill patternType="solid">
        <x:fgColor rgb="FFDDEBF7"/>
      </x:patternFill>
    </x:fill>
    <x:fill>
      <x:patternFill patternType="solid">
        <x:fgColor rgb="FFE2F0D9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FFF2CC"/>
      </x:patternFill>
    </x:fill>
    <x:fill>
      <x:patternFill patternType="solid">
        <x:fgColor rgb="FFDDEBF7"/>
      </x:patternFill>
    </x:fill>
    <x:fill>
      <x:patternFill patternType="solid">
        <x:fgColor rgb="FFE2F0D9"/>
      </x:patternFill>
    </x:fill>
  </x:fills>
  <x:borders count="13">
    <x:border diagonalUp="0" diagonalDown="0"/>
    <x:border diagonalUp="0" diagonalDown="0">
      <x:left style="thin">
        <x:color rgb="FFB7C9D6"/>
      </x:left>
      <x:top style="thin">
        <x:color rgb="FFB7C9D6"/>
      </x:top>
      <x:bottom style="thin">
        <x:color rgb="FFB7C9D6"/>
      </x:bottom>
    </x:border>
    <x:border diagonalUp="0" diagonalDown="0">
      <x:top style="thin">
        <x:color rgb="FFB7C9D6"/>
      </x:top>
      <x:bottom style="thin">
        <x:color rgb="FFB7C9D6"/>
      </x:bottom>
    </x:border>
    <x:border diagonalUp="0" diagonalDown="0">
      <x:right style="thin">
        <x:color rgb="FFB7C9D6"/>
      </x:right>
      <x:top style="thin">
        <x:color rgb="FFB7C9D6"/>
      </x:top>
      <x:bottom style="thin">
        <x:color rgb="FFB7C9D6"/>
      </x:bottom>
    </x:border>
    <x:border diagonalUp="0" diagonalDown="0">
      <x:left style="thin">
        <x:color rgb="FFB7C9D6"/>
      </x:left>
      <x:right style="thin">
        <x:color rgb="FFB7C9D6"/>
      </x:right>
      <x:top style="thin">
        <x:color rgb="FFB7C9D6"/>
      </x:top>
      <x:bottom style="thin">
        <x:color rgb="FFB7C9D6"/>
      </x:bottom>
    </x:border>
    <x:border diagonalUp="0" diagonalDown="0">
      <x:left style="thin">
        <x:color rgb="FFB7C9D6"/>
      </x:left>
      <x:top style="thin">
        <x:color rgb="FFB7C9D6"/>
      </x:top>
    </x:border>
    <x:border diagonalUp="0" diagonalDown="0">
      <x:top style="thin">
        <x:color rgb="FFB7C9D6"/>
      </x:top>
    </x:border>
    <x:border diagonalUp="0" diagonalDown="0">
      <x:right style="thin">
        <x:color rgb="FFB7C9D6"/>
      </x:right>
      <x:top style="thin">
        <x:color rgb="FFB7C9D6"/>
      </x:top>
    </x:border>
    <x:border diagonalUp="0" diagonalDown="0">
      <x:left style="thin">
        <x:color rgb="FFB7C9D6"/>
      </x:left>
    </x:border>
    <x:border diagonalUp="0" diagonalDown="0">
      <x:right style="thin">
        <x:color rgb="FFB7C9D6"/>
      </x:right>
    </x:border>
    <x:border diagonalUp="0" diagonalDown="0">
      <x:left style="thin">
        <x:color rgb="FFB7C9D6"/>
      </x:left>
      <x:bottom style="thin">
        <x:color rgb="FFB7C9D6"/>
      </x:bottom>
    </x:border>
    <x:border diagonalUp="0" diagonalDown="0">
      <x:bottom style="thin">
        <x:color rgb="FFB7C9D6"/>
      </x:bottom>
    </x:border>
    <x:border diagonalUp="0" diagonalDown="0">
      <x:right style="thin">
        <x:color rgb="FFB7C9D6"/>
      </x:right>
      <x:bottom style="thin">
        <x:color rgb="FFB7C9D6"/>
      </x:bottom>
    </x:border>
  </x:borders>
  <x:cellStyleXfs count="21">
    <x:xf numFmtId="164" fontId="0" fillId="0" borderId="0" applyFont="1" applyBorder="1" applyAlignment="1" applyProtection="1">
      <x:alignment horizontal="general" vertical="bottom" wrapText="0" shrinkToFit="0"/>
    </x:xf>
    <x:xf numFmtId="0" fontId="1" fillId="0" borderId="0" applyFont="1" applyBorder="0" applyAlignment="0" applyProtection="0"/>
    <x:xf numFmtId="0" fontId="1" fillId="0" borderId="0" applyFont="1" applyBorder="0" applyAlignment="0" applyProtection="0"/>
    <x:xf numFmtId="0" fontId="2" fillId="0" borderId="0" applyFont="1" applyBorder="0" applyAlignment="0" applyProtection="0"/>
    <x:xf numFmtId="0" fontId="2" fillId="0" borderId="0" applyFont="1" applyBorder="0" applyAlignment="0" applyProtection="0"/>
    <x:xf numFmtId="0" fontId="0" fillId="0" borderId="0" applyFont="1" applyBorder="0" applyAlignment="0" applyProtection="0"/>
    <x:xf numFmtId="0" fontId="0" fillId="0" borderId="0" applyFont="1" applyBorder="0" applyAlignment="0" applyProtection="0"/>
    <x:xf numFmtId="0" fontId="0" fillId="0" borderId="0" applyFont="1" applyBorder="0" applyAlignment="0" applyProtection="0"/>
    <x:xf numFmtId="0" fontId="0" fillId="0" borderId="0" applyFont="1" applyBorder="0" applyAlignment="0" applyProtection="0"/>
    <x:xf numFmtId="0" fontId="0" fillId="0" borderId="0" applyFont="1" applyBorder="0" applyAlignment="0" applyProtection="0"/>
    <x:xf numFmtId="0" fontId="0" fillId="0" borderId="0" applyFont="1" applyBorder="0" applyAlignment="0" applyProtection="0"/>
    <x:xf numFmtId="0" fontId="0" fillId="0" borderId="0" applyFont="1" applyBorder="0" applyAlignment="0" applyProtection="0"/>
    <x:xf numFmtId="0" fontId="0" fillId="0" borderId="0" applyFont="1" applyBorder="0" applyAlignment="0" applyProtection="0"/>
    <x:xf numFmtId="0" fontId="0" fillId="0" borderId="0" applyFont="1" applyBorder="0" applyAlignment="0" applyProtection="0"/>
    <x:xf numFmtId="0" fontId="0" fillId="0" borderId="0" applyFont="1" applyBorder="0" applyAlignment="0" applyProtection="0"/>
    <x:xf numFmtId="43" fontId="1" fillId="0" borderId="0" applyFont="1" applyBorder="0" applyAlignment="0" applyProtection="0"/>
    <x:xf numFmtId="41" fontId="1" fillId="0" borderId="0" applyFont="1" applyBorder="0" applyAlignment="0" applyProtection="0"/>
    <x:xf numFmtId="44" fontId="1" fillId="0" borderId="0" applyFont="1" applyBorder="0" applyAlignment="0" applyProtection="0"/>
    <x:xf numFmtId="42" fontId="1" fillId="0" borderId="0" applyFont="1" applyBorder="0" applyAlignment="0" applyProtection="0"/>
    <x:xf numFmtId="9" fontId="1" fillId="0" borderId="0" applyFont="1" applyBorder="0" applyAlignment="0" applyProtection="0"/>
    <x:xf numFmtId="164" fontId="4" fillId="0" borderId="0" applyFont="1" applyBorder="1" applyAlignment="1" applyProtection="1">
      <x:alignment horizontal="general" vertical="bottom" wrapText="0" shrinkToFit="0"/>
    </x:xf>
  </x:cellStyleXfs>
  <x:cellXfs count="118">
    <x:xf numFmtId="164" fontId="0" fillId="0" borderId="0" xfId="0" applyFont="0" applyBorder="0" applyAlignment="0">
      <x:alignment horizontal="general" vertical="bottom" wrapText="0"/>
    </x:xf>
    <x:xf numFmtId="164" fontId="5" fillId="2" borderId="0" xfId="20" applyFont="1" applyBorder="1" applyAlignment="1">
      <x:alignment horizontal="center" vertical="center" wrapText="0"/>
    </x:xf>
    <x:xf numFmtId="164" fontId="7" fillId="0" borderId="0" xfId="20" applyFont="1" applyBorder="0" applyAlignment="0">
      <x:alignment horizontal="general" vertical="bottom" wrapText="0"/>
    </x:xf>
    <x:xf numFmtId="164" fontId="8" fillId="0" borderId="0" xfId="20" applyFont="1" applyBorder="0" applyAlignment="1">
      <x:alignment horizontal="general" vertical="top" wrapText="0"/>
    </x:xf>
    <x:xf numFmtId="164" fontId="7" fillId="3" borderId="0" xfId="20" applyFont="1" applyBorder="0" applyAlignment="1">
      <x:alignment horizontal="general" vertical="top" wrapText="0"/>
    </x:xf>
    <x:xf numFmtId="164" fontId="6" fillId="4" borderId="0" xfId="20" applyFont="1" applyBorder="1" applyAlignment="0">
      <x:alignment horizontal="general" vertical="bottom" wrapText="0"/>
    </x:xf>
    <x:xf numFmtId="164" fontId="9" fillId="5" borderId="0" xfId="20" applyFont="1" applyBorder="0" applyAlignment="0">
      <x:alignment horizontal="general" vertical="bottom" wrapText="0"/>
    </x:xf>
    <x:xf numFmtId="164" fontId="10" fillId="5" borderId="0" xfId="20" applyFont="1" applyBorder="0" applyAlignment="0">
      <x:alignment horizontal="general" vertical="bottom" wrapText="0"/>
    </x:xf>
    <x:xf numFmtId="164" fontId="8" fillId="0" borderId="0" xfId="20" applyFont="1" applyBorder="0" applyAlignment="0">
      <x:alignment horizontal="general" vertical="bottom" wrapText="0"/>
    </x:xf>
    <x:xf numFmtId="164" fontId="8" fillId="3" borderId="0" xfId="20" applyFont="1" applyBorder="0" applyAlignment="1">
      <x:alignment horizontal="general" vertical="top" wrapText="0"/>
    </x:xf>
    <x:xf numFmtId="164" fontId="7" fillId="0" borderId="0" xfId="20" applyFont="1" applyBorder="0" applyAlignment="1">
      <x:alignment horizontal="general" vertical="top" wrapText="0"/>
    </x:xf>
    <x:xf numFmtId="164" fontId="6" fillId="6" borderId="0" xfId="20" applyFont="1" applyBorder="1" applyAlignment="0">
      <x:alignment horizontal="general" vertical="bottom" wrapText="0"/>
    </x:xf>
    <x:xf numFmtId="164" fontId="6" fillId="2" borderId="0" xfId="20" applyFont="1" applyBorder="1" applyAlignment="1">
      <x:alignment horizontal="center" vertical="center" wrapText="0"/>
    </x:xf>
    <x:xf numFmtId="164" fontId="13" fillId="0" borderId="0" xfId="20" applyFont="1" applyBorder="0" applyAlignment="0">
      <x:alignment horizontal="general" vertical="bottom" wrapText="0"/>
    </x:xf>
    <x:xf numFmtId="164" fontId="15" fillId="0" borderId="0" xfId="20" applyFont="1" applyBorder="0" applyAlignment="0">
      <x:alignment horizontal="general" vertical="bottom" wrapText="0"/>
    </x:xf>
    <x:xf numFmtId="164" fontId="17" fillId="0" borderId="0" xfId="20" applyFont="1" applyBorder="0" applyAlignment="0">
      <x:alignment horizontal="general" vertical="bottom" wrapText="0"/>
    </x:xf>
    <x:xf numFmtId="164" fontId="16" fillId="0" borderId="0" xfId="20" applyFont="1" applyBorder="0" applyAlignment="0">
      <x:alignment horizontal="general" vertical="bottom" wrapText="0"/>
    </x:xf>
    <x:xf numFmtId="164" fontId="19" fillId="0" borderId="0" xfId="20" applyFont="1" applyBorder="0" applyAlignment="0">
      <x:alignment horizontal="general" vertical="bottom" wrapText="0"/>
    </x:xf>
    <x:xf numFmtId="165" fontId="19" fillId="0" borderId="0" xfId="20" applyFont="1" applyBorder="0" applyAlignment="0">
      <x:alignment horizontal="general" vertical="bottom" wrapText="0"/>
    </x:xf>
    <x:xf numFmtId="165" fontId="16" fillId="0" borderId="0" xfId="20" applyFont="1" applyBorder="0" applyAlignment="0">
      <x:alignment horizontal="general" vertical="bottom" wrapText="0"/>
    </x:xf>
    <x:xf numFmtId="166" fontId="19" fillId="0" borderId="0" xfId="20" applyFont="1" applyBorder="0" applyAlignment="0">
      <x:alignment horizontal="general" vertical="bottom" wrapText="0"/>
    </x:xf>
    <x:xf numFmtId="164" fontId="18" fillId="0" borderId="0" xfId="20" applyFont="1" applyBorder="0" applyAlignment="0">
      <x:alignment horizontal="general" vertical="bottom" wrapText="0"/>
    </x:xf>
    <x:xf numFmtId="165" fontId="18" fillId="0" borderId="0" xfId="20" applyFont="1" applyBorder="0" applyAlignment="0">
      <x:alignment horizontal="general" vertical="bottom" wrapText="0"/>
    </x:xf>
    <x:xf numFmtId="167" fontId="16" fillId="0" borderId="0" xfId="20" applyFont="1" applyBorder="0" applyAlignment="0">
      <x:alignment horizontal="general" vertical="bottom" wrapText="0"/>
    </x:xf>
    <x:xf numFmtId="166" fontId="19" fillId="7" borderId="0" xfId="20" applyFont="1" applyBorder="0" applyAlignment="0">
      <x:alignment horizontal="general" vertical="bottom" wrapText="0"/>
    </x:xf>
    <x:xf numFmtId="164" fontId="10" fillId="5" borderId="0" xfId="20" applyFont="1" applyBorder="0" applyAlignment="1">
      <x:alignment horizontal="general" vertical="top" wrapText="0"/>
    </x:xf>
    <x:xf numFmtId="164" fontId="9" fillId="5" borderId="0" xfId="20" applyFont="1" applyBorder="0" applyAlignment="1">
      <x:alignment horizontal="general" vertical="top" wrapText="0"/>
    </x:xf>
    <x:xf numFmtId="164" fontId="0" fillId="8" borderId="0" xfId="0" applyNumberFormat="1" applyFont="1" applyFill="1" applyBorder="1" applyAlignment="1">
      <x:alignment horizontal="general" vertical="bottom" wrapText="0"/>
    </x:xf>
    <x:xf numFmtId="164" fontId="20" fillId="8" borderId="0" xfId="0" applyNumberFormat="1" applyFont="1" applyFill="1" applyBorder="1" applyAlignment="1">
      <x:alignment horizontal="general" vertical="bottom" wrapText="0"/>
    </x:xf>
    <x:xf numFmtId="164" fontId="20" fillId="8" borderId="0" xfId="0" applyNumberFormat="1" applyFont="1" applyFill="1" applyBorder="1" applyAlignment="1">
      <x:alignment horizontal="general" vertical="center" wrapText="0"/>
    </x:xf>
    <x:xf numFmtId="164" fontId="21" fillId="0" borderId="0" xfId="0" applyNumberFormat="1" applyFont="1" applyFill="1" applyBorder="1" applyAlignment="1">
      <x:alignment horizontal="general" vertical="bottom" wrapText="0"/>
    </x:xf>
    <x:xf numFmtId="164" fontId="0" fillId="9" borderId="0" xfId="0" applyNumberFormat="1" applyFont="1" applyFill="1" applyBorder="1" applyAlignment="1">
      <x:alignment horizontal="general" vertical="bottom" wrapText="0"/>
    </x:xf>
    <x:xf numFmtId="164" fontId="22" fillId="9" borderId="0" xfId="0" applyNumberFormat="1" applyFont="1" applyFill="1" applyBorder="1" applyAlignment="1">
      <x:alignment horizontal="general" vertical="bottom" wrapText="0"/>
    </x:xf>
    <x:xf numFmtId="164" fontId="22" fillId="9" borderId="1" xfId="0" applyNumberFormat="1" applyFont="1" applyFill="1" applyBorder="1" applyAlignment="1">
      <x:alignment horizontal="general" vertical="bottom" wrapText="0"/>
    </x:xf>
    <x:xf numFmtId="164" fontId="22" fillId="9" borderId="2" xfId="0" applyNumberFormat="1" applyFont="1" applyFill="1" applyBorder="1" applyAlignment="1">
      <x:alignment horizontal="general" vertical="bottom" wrapText="0"/>
    </x:xf>
    <x:xf numFmtId="164" fontId="22" fillId="9" borderId="3" xfId="0" applyNumberFormat="1" applyFont="1" applyFill="1" applyBorder="1" applyAlignment="1">
      <x:alignment horizontal="general" vertical="bottom" wrapText="0"/>
    </x:xf>
    <x:xf numFmtId="164" fontId="23" fillId="8" borderId="0" xfId="0" applyNumberFormat="1" applyFont="1" applyFill="1" applyBorder="1" applyAlignment="1">
      <x:alignment horizontal="general" vertical="bottom" wrapText="0"/>
    </x:xf>
    <x:xf numFmtId="164" fontId="23" fillId="8" borderId="0" xfId="0" applyNumberFormat="1" applyFont="1" applyFill="1" applyBorder="1" applyAlignment="1">
      <x:alignment horizontal="general" vertical="bottom" wrapText="1"/>
    </x:xf>
    <x:xf numFmtId="164" fontId="23" fillId="8" borderId="0" xfId="0" applyNumberFormat="1" applyFont="1" applyFill="1" applyBorder="1" applyAlignment="1">
      <x:alignment horizontal="center" vertical="bottom" wrapText="1"/>
    </x:xf>
    <x:xf numFmtId="164" fontId="23" fillId="8" borderId="0" xfId="0" applyNumberFormat="1" applyFont="1" applyFill="1" applyBorder="1" applyAlignment="1">
      <x:alignment horizontal="center" vertical="center" wrapText="1"/>
    </x:xf>
    <x:xf numFmtId="164" fontId="23" fillId="8" borderId="4" xfId="0" applyNumberFormat="1" applyFont="1" applyFill="1" applyBorder="1" applyAlignment="1">
      <x:alignment horizontal="center" vertical="center" wrapText="1"/>
    </x:xf>
    <x:xf numFmtId="164" fontId="0" fillId="0" borderId="4" xfId="0" applyNumberFormat="1" applyFont="1" applyFill="1" applyBorder="1" applyAlignment="1">
      <x:alignment horizontal="general" vertical="bottom" wrapText="0"/>
    </x:xf>
    <x:xf numFmtId="164" fontId="0" fillId="0" borderId="4" xfId="0" applyNumberFormat="1" applyFont="1" applyFill="1" applyBorder="1" applyAlignment="1">
      <x:alignment horizontal="general" vertical="center" wrapText="0"/>
    </x:xf>
    <x:xf numFmtId="200" fontId="0" fillId="0" borderId="4" xfId="0" applyNumberFormat="1" applyFont="1" applyFill="1" applyBorder="1" applyAlignment="1">
      <x:alignment horizontal="general" vertical="center" wrapText="0"/>
    </x:xf>
    <x:xf numFmtId="201" fontId="0" fillId="0" borderId="4" xfId="0" applyNumberFormat="1" applyFont="1" applyFill="1" applyBorder="1" applyAlignment="1">
      <x:alignment horizontal="general" vertical="center" wrapText="0"/>
    </x:xf>
    <x:xf numFmtId="202" fontId="0" fillId="0" borderId="4" xfId="0" applyNumberFormat="1" applyFont="1" applyFill="1" applyBorder="1" applyAlignment="1">
      <x:alignment horizontal="general" vertical="center" wrapText="0"/>
    </x:xf>
    <x:xf numFmtId="166" fontId="0" fillId="0" borderId="4" xfId="0" applyNumberFormat="1" applyFont="1" applyFill="1" applyBorder="1" applyAlignment="1">
      <x:alignment horizontal="general" vertical="center" wrapText="0"/>
    </x:xf>
    <x:xf numFmtId="164" fontId="0" fillId="10" borderId="0" xfId="0" applyNumberFormat="1" applyFont="1" applyFill="1" applyBorder="1" applyAlignment="1">
      <x:alignment horizontal="general" vertical="bottom" wrapText="0"/>
    </x:xf>
    <x:xf numFmtId="203" fontId="0" fillId="10" borderId="0" xfId="0" applyNumberFormat="1" applyFont="1" applyFill="1" applyBorder="1" applyAlignment="1">
      <x:alignment horizontal="general" vertical="bottom" wrapText="0"/>
    </x:xf>
    <x:xf numFmtId="204" fontId="0" fillId="0" borderId="4" xfId="0" applyNumberFormat="1" applyFont="1" applyFill="1" applyBorder="1" applyAlignment="1">
      <x:alignment horizontal="general" vertical="center" wrapText="0"/>
    </x:xf>
    <x:xf numFmtId="205" fontId="0" fillId="0" borderId="4" xfId="0" applyNumberFormat="1" applyFont="1" applyFill="1" applyBorder="1" applyAlignment="1">
      <x:alignment horizontal="general" vertical="center" wrapText="0"/>
    </x:xf>
    <x:xf numFmtId="206" fontId="0" fillId="0" borderId="4" xfId="0" applyNumberFormat="1" applyFont="1" applyFill="1" applyBorder="1" applyAlignment="1">
      <x:alignment horizontal="general" vertical="center" wrapText="0"/>
    </x:xf>
    <x:xf numFmtId="164" fontId="0" fillId="0" borderId="0" xfId="0" applyNumberFormat="1" applyFont="1" applyFill="1" applyBorder="1" applyAlignment="1">
      <x:alignment horizontal="general" vertical="bottom" wrapText="1"/>
    </x:xf>
    <x:xf numFmtId="164" fontId="0" fillId="0" borderId="5" xfId="0" applyNumberFormat="1" applyFont="1" applyFill="1" applyBorder="1" applyAlignment="1">
      <x:alignment horizontal="general" vertical="bottom" wrapText="1"/>
    </x:xf>
    <x:xf numFmtId="164" fontId="0" fillId="0" borderId="6" xfId="0" applyNumberFormat="1" applyFont="1" applyFill="1" applyBorder="1" applyAlignment="1">
      <x:alignment horizontal="general" vertical="bottom" wrapText="1"/>
    </x:xf>
    <x:xf numFmtId="164" fontId="0" fillId="0" borderId="7" xfId="0" applyNumberFormat="1" applyFont="1" applyFill="1" applyBorder="1" applyAlignment="1">
      <x:alignment horizontal="general" vertical="bottom" wrapText="1"/>
    </x:xf>
    <x:xf numFmtId="164" fontId="0" fillId="0" borderId="8" xfId="0" applyNumberFormat="1" applyFont="1" applyFill="1" applyBorder="1" applyAlignment="1">
      <x:alignment horizontal="general" vertical="bottom" wrapText="1"/>
    </x:xf>
    <x:xf numFmtId="164" fontId="0" fillId="0" borderId="9" xfId="0" applyNumberFormat="1" applyFont="1" applyFill="1" applyBorder="1" applyAlignment="1">
      <x:alignment horizontal="general" vertical="bottom" wrapText="1"/>
    </x:xf>
    <x:xf numFmtId="164" fontId="0" fillId="0" borderId="10" xfId="0" applyNumberFormat="1" applyFont="1" applyFill="1" applyBorder="1" applyAlignment="1">
      <x:alignment horizontal="general" vertical="bottom" wrapText="1"/>
    </x:xf>
    <x:xf numFmtId="164" fontId="0" fillId="0" borderId="11" xfId="0" applyNumberFormat="1" applyFont="1" applyFill="1" applyBorder="1" applyAlignment="1">
      <x:alignment horizontal="general" vertical="bottom" wrapText="1"/>
    </x:xf>
    <x:xf numFmtId="164" fontId="0" fillId="0" borderId="12" xfId="0" applyNumberFormat="1" applyFont="1" applyFill="1" applyBorder="1" applyAlignment="1">
      <x:alignment horizontal="general" vertical="bottom" wrapText="1"/>
    </x:xf>
    <x:xf numFmtId="164" fontId="0" fillId="11" borderId="4" xfId="0" applyNumberFormat="1" applyFont="1" applyFill="1" applyBorder="1" applyAlignment="1">
      <x:alignment horizontal="general" vertical="center" wrapText="0"/>
    </x:xf>
    <x:xf numFmtId="164" fontId="24" fillId="11" borderId="4" xfId="0" applyNumberFormat="1" applyFont="1" applyFill="1" applyBorder="1" applyAlignment="1">
      <x:alignment horizontal="general" vertical="center" wrapText="0"/>
    </x:xf>
    <x:xf numFmtId="200" fontId="24" fillId="11" borderId="4" xfId="0" applyNumberFormat="1" applyFont="1" applyFill="1" applyBorder="1" applyAlignment="1">
      <x:alignment horizontal="general" vertical="center" wrapText="0"/>
    </x:xf>
    <x:xf numFmtId="166" fontId="24" fillId="11" borderId="4" xfId="0" applyNumberFormat="1" applyFont="1" applyFill="1" applyBorder="1" applyAlignment="1">
      <x:alignment horizontal="general" vertical="center" wrapText="0"/>
    </x:xf>
    <x:xf numFmtId="164" fontId="0" fillId="12" borderId="4" xfId="0" applyNumberFormat="1" applyFont="1" applyFill="1" applyBorder="1" applyAlignment="1">
      <x:alignment horizontal="general" vertical="center" wrapText="0"/>
    </x:xf>
    <x:xf numFmtId="202" fontId="24" fillId="11" borderId="4" xfId="0" applyNumberFormat="1" applyFont="1" applyFill="1" applyBorder="1" applyAlignment="1">
      <x:alignment horizontal="general" vertical="center" wrapText="0"/>
    </x:xf>
    <x:xf numFmtId="167" fontId="24" fillId="11" borderId="4" xfId="0" applyNumberFormat="1" applyFont="1" applyFill="1" applyBorder="1" applyAlignment="1">
      <x:alignment horizontal="general" vertical="center" wrapText="0"/>
    </x:xf>
    <x:xf numFmtId="207" fontId="24" fillId="11" borderId="4" xfId="0" applyNumberFormat="1" applyFont="1" applyFill="1" applyBorder="1" applyAlignment="1">
      <x:alignment horizontal="general" vertical="center" wrapText="0"/>
    </x:xf>
    <x:xf numFmtId="167" fontId="0" fillId="0" borderId="4" xfId="0" applyNumberFormat="1" applyFont="1" applyFill="1" applyBorder="1" applyAlignment="1">
      <x:alignment horizontal="general" vertical="center" wrapText="0"/>
    </x:xf>
    <x:xf numFmtId="207" fontId="0" fillId="0" borderId="4" xfId="0" applyNumberFormat="1" applyFont="1" applyFill="1" applyBorder="1" applyAlignment="1">
      <x:alignment horizontal="general" vertical="center" wrapText="0"/>
    </x:xf>
    <x:xf numFmtId="164" fontId="0" fillId="13" borderId="0" xfId="0" applyNumberFormat="1" applyFont="1" applyFill="1" applyBorder="1" applyAlignment="1">
      <x:alignment horizontal="general" vertical="bottom" wrapText="0"/>
    </x:xf>
    <x:xf numFmtId="164" fontId="20" fillId="13" borderId="0" xfId="0" applyNumberFormat="1" applyFont="1" applyFill="1" applyBorder="1" applyAlignment="1">
      <x:alignment horizontal="general" vertical="bottom" wrapText="0"/>
    </x:xf>
    <x:xf numFmtId="164" fontId="20" fillId="13" borderId="0" xfId="0" applyNumberFormat="1" applyFont="1" applyFill="1" applyBorder="1" applyAlignment="1">
      <x:alignment horizontal="general" vertical="center" wrapText="0"/>
    </x:xf>
    <x:xf numFmtId="164" fontId="0" fillId="14" borderId="0" xfId="0" applyNumberFormat="1" applyFont="1" applyFill="1" applyBorder="1" applyAlignment="1">
      <x:alignment horizontal="general" vertical="bottom" wrapText="0"/>
    </x:xf>
    <x:xf numFmtId="164" fontId="22" fillId="14" borderId="0" xfId="0" applyNumberFormat="1" applyFont="1" applyFill="1" applyBorder="1" applyAlignment="1">
      <x:alignment horizontal="general" vertical="bottom" wrapText="0"/>
    </x:xf>
    <x:xf numFmtId="164" fontId="22" fillId="14" borderId="1" xfId="0" applyNumberFormat="1" applyFont="1" applyFill="1" applyBorder="1" applyAlignment="1">
      <x:alignment horizontal="general" vertical="bottom" wrapText="0"/>
    </x:xf>
    <x:xf numFmtId="164" fontId="22" fillId="14" borderId="2" xfId="0" applyNumberFormat="1" applyFont="1" applyFill="1" applyBorder="1" applyAlignment="1">
      <x:alignment horizontal="general" vertical="bottom" wrapText="0"/>
    </x:xf>
    <x:xf numFmtId="164" fontId="22" fillId="14" borderId="3" xfId="0" applyNumberFormat="1" applyFont="1" applyFill="1" applyBorder="1" applyAlignment="1">
      <x:alignment horizontal="general" vertical="bottom" wrapText="0"/>
    </x:xf>
    <x:xf numFmtId="164" fontId="23" fillId="13" borderId="0" xfId="0" applyNumberFormat="1" applyFont="1" applyFill="1" applyBorder="1" applyAlignment="1">
      <x:alignment horizontal="general" vertical="bottom" wrapText="0"/>
    </x:xf>
    <x:xf numFmtId="164" fontId="23" fillId="13" borderId="0" xfId="0" applyNumberFormat="1" applyFont="1" applyFill="1" applyBorder="1" applyAlignment="1">
      <x:alignment horizontal="general" vertical="bottom" wrapText="1"/>
    </x:xf>
    <x:xf numFmtId="164" fontId="23" fillId="13" borderId="0" xfId="0" applyNumberFormat="1" applyFont="1" applyFill="1" applyBorder="1" applyAlignment="1">
      <x:alignment horizontal="center" vertical="bottom" wrapText="1"/>
    </x:xf>
    <x:xf numFmtId="164" fontId="23" fillId="13" borderId="0" xfId="0" applyNumberFormat="1" applyFont="1" applyFill="1" applyBorder="1" applyAlignment="1">
      <x:alignment horizontal="center" vertical="center" wrapText="1"/>
    </x:xf>
    <x:xf numFmtId="164" fontId="23" fillId="13" borderId="4" xfId="0" applyNumberFormat="1" applyFont="1" applyFill="1" applyBorder="1" applyAlignment="1">
      <x:alignment horizontal="center" vertical="center" wrapText="1"/>
    </x:xf>
    <x:xf numFmtId="164" fontId="0" fillId="15" borderId="0" xfId="0" applyNumberFormat="1" applyFont="1" applyFill="1" applyBorder="1" applyAlignment="1">
      <x:alignment horizontal="general" vertical="bottom" wrapText="0"/>
    </x:xf>
    <x:xf numFmtId="203" fontId="0" fillId="15" borderId="0" xfId="0" applyNumberFormat="1" applyFont="1" applyFill="1" applyBorder="1" applyAlignment="1">
      <x:alignment horizontal="general" vertical="bottom" wrapText="0"/>
    </x:xf>
    <x:xf numFmtId="164" fontId="0" fillId="0" xfId="0" applyNumberFormat="1" applyFont="1" applyFill="1" applyBorder="0" applyAlignment="1">
      <x:alignment horizontal="general" vertical="bottom" wrapText="1"/>
    </x:xf>
    <x:xf numFmtId="164" fontId="0" fillId="16" borderId="4" xfId="0" applyNumberFormat="1" applyFont="1" applyFill="1" applyBorder="1" applyAlignment="1">
      <x:alignment horizontal="general" vertical="center" wrapText="0"/>
    </x:xf>
    <x:xf numFmtId="164" fontId="24" fillId="16" borderId="4" xfId="0" applyNumberFormat="1" applyFont="1" applyFill="1" applyBorder="1" applyAlignment="1">
      <x:alignment horizontal="general" vertical="center" wrapText="0"/>
    </x:xf>
    <x:xf numFmtId="200" fontId="24" fillId="16" borderId="4" xfId="0" applyNumberFormat="1" applyFont="1" applyFill="1" applyBorder="1" applyAlignment="1">
      <x:alignment horizontal="general" vertical="center" wrapText="0"/>
    </x:xf>
    <x:xf numFmtId="166" fontId="24" fillId="16" borderId="4" xfId="0" applyNumberFormat="1" applyFont="1" applyFill="1" applyBorder="1" applyAlignment="1">
      <x:alignment horizontal="general" vertical="center" wrapText="0"/>
    </x:xf>
    <x:xf numFmtId="164" fontId="0" fillId="17" borderId="4" xfId="0" applyNumberFormat="1" applyFont="1" applyFill="1" applyBorder="1" applyAlignment="1">
      <x:alignment horizontal="general" vertical="center" wrapText="0"/>
    </x:xf>
    <x:xf numFmtId="202" fontId="24" fillId="16" borderId="4" xfId="0" applyNumberFormat="1" applyFont="1" applyFill="1" applyBorder="1" applyAlignment="1">
      <x:alignment horizontal="general" vertical="center" wrapText="0"/>
    </x:xf>
    <x:xf numFmtId="167" fontId="24" fillId="16" borderId="4" xfId="0" applyNumberFormat="1" applyFont="1" applyFill="1" applyBorder="1" applyAlignment="1">
      <x:alignment horizontal="general" vertical="center" wrapText="0"/>
    </x:xf>
    <x:xf numFmtId="207" fontId="24" fillId="16" borderId="4" xfId="0" applyNumberFormat="1" applyFont="1" applyFill="1" applyBorder="1" applyAlignment="1">
      <x:alignment horizontal="general" vertical="center" wrapText="0"/>
    </x:xf>
    <x:xf numFmtId="164" fontId="0" fillId="18" borderId="0" xfId="0" applyNumberFormat="1" applyFont="1" applyFill="1" applyBorder="1" applyAlignment="1">
      <x:alignment horizontal="general" vertical="bottom" wrapText="0"/>
    </x:xf>
    <x:xf numFmtId="164" fontId="20" fillId="18" borderId="0" xfId="0" applyNumberFormat="1" applyFont="1" applyFill="1" applyBorder="1" applyAlignment="1">
      <x:alignment horizontal="general" vertical="bottom" wrapText="0"/>
    </x:xf>
    <x:xf numFmtId="164" fontId="20" fillId="18" borderId="0" xfId="0" applyNumberFormat="1" applyFont="1" applyFill="1" applyBorder="1" applyAlignment="1">
      <x:alignment horizontal="general" vertical="center" wrapText="0"/>
    </x:xf>
    <x:xf numFmtId="164" fontId="0" fillId="19" borderId="0" xfId="0" applyNumberFormat="1" applyFont="1" applyFill="1" applyBorder="1" applyAlignment="1">
      <x:alignment horizontal="general" vertical="bottom" wrapText="0"/>
    </x:xf>
    <x:xf numFmtId="164" fontId="22" fillId="19" borderId="0" xfId="0" applyNumberFormat="1" applyFont="1" applyFill="1" applyBorder="1" applyAlignment="1">
      <x:alignment horizontal="general" vertical="bottom" wrapText="0"/>
    </x:xf>
    <x:xf numFmtId="164" fontId="22" fillId="19" borderId="1" xfId="0" applyNumberFormat="1" applyFont="1" applyFill="1" applyBorder="1" applyAlignment="1">
      <x:alignment horizontal="general" vertical="bottom" wrapText="0"/>
    </x:xf>
    <x:xf numFmtId="164" fontId="22" fillId="19" borderId="2" xfId="0" applyNumberFormat="1" applyFont="1" applyFill="1" applyBorder="1" applyAlignment="1">
      <x:alignment horizontal="general" vertical="bottom" wrapText="0"/>
    </x:xf>
    <x:xf numFmtId="164" fontId="22" fillId="19" borderId="3" xfId="0" applyNumberFormat="1" applyFont="1" applyFill="1" applyBorder="1" applyAlignment="1">
      <x:alignment horizontal="general" vertical="bottom" wrapText="0"/>
    </x:xf>
    <x:xf numFmtId="164" fontId="23" fillId="18" borderId="0" xfId="0" applyNumberFormat="1" applyFont="1" applyFill="1" applyBorder="1" applyAlignment="1">
      <x:alignment horizontal="general" vertical="bottom" wrapText="0"/>
    </x:xf>
    <x:xf numFmtId="164" fontId="23" fillId="18" borderId="0" xfId="0" applyNumberFormat="1" applyFont="1" applyFill="1" applyBorder="1" applyAlignment="1">
      <x:alignment horizontal="general" vertical="bottom" wrapText="1"/>
    </x:xf>
    <x:xf numFmtId="164" fontId="23" fillId="18" borderId="0" xfId="0" applyNumberFormat="1" applyFont="1" applyFill="1" applyBorder="1" applyAlignment="1">
      <x:alignment horizontal="center" vertical="bottom" wrapText="1"/>
    </x:xf>
    <x:xf numFmtId="164" fontId="23" fillId="18" borderId="0" xfId="0" applyNumberFormat="1" applyFont="1" applyFill="1" applyBorder="1" applyAlignment="1">
      <x:alignment horizontal="center" vertical="center" wrapText="1"/>
    </x:xf>
    <x:xf numFmtId="164" fontId="23" fillId="18" borderId="4" xfId="0" applyNumberFormat="1" applyFont="1" applyFill="1" applyBorder="1" applyAlignment="1">
      <x:alignment horizontal="center" vertical="center" wrapText="1"/>
    </x:xf>
    <x:xf numFmtId="164" fontId="0" fillId="20" borderId="0" xfId="0" applyNumberFormat="1" applyFont="1" applyFill="1" applyBorder="1" applyAlignment="1">
      <x:alignment horizontal="general" vertical="bottom" wrapText="0"/>
    </x:xf>
    <x:xf numFmtId="203" fontId="0" fillId="20" borderId="0" xfId="0" applyNumberFormat="1" applyFont="1" applyFill="1" applyBorder="1" applyAlignment="1">
      <x:alignment horizontal="general" vertical="bottom" wrapText="0"/>
    </x:xf>
    <x:xf numFmtId="164" fontId="0" fillId="21" borderId="4" xfId="0" applyNumberFormat="1" applyFont="1" applyFill="1" applyBorder="1" applyAlignment="1">
      <x:alignment horizontal="general" vertical="center" wrapText="0"/>
    </x:xf>
    <x:xf numFmtId="164" fontId="24" fillId="21" borderId="4" xfId="0" applyNumberFormat="1" applyFont="1" applyFill="1" applyBorder="1" applyAlignment="1">
      <x:alignment horizontal="general" vertical="center" wrapText="0"/>
    </x:xf>
    <x:xf numFmtId="200" fontId="24" fillId="21" borderId="4" xfId="0" applyNumberFormat="1" applyFont="1" applyFill="1" applyBorder="1" applyAlignment="1">
      <x:alignment horizontal="general" vertical="center" wrapText="0"/>
    </x:xf>
    <x:xf numFmtId="166" fontId="24" fillId="21" borderId="4" xfId="0" applyNumberFormat="1" applyFont="1" applyFill="1" applyBorder="1" applyAlignment="1">
      <x:alignment horizontal="general" vertical="center" wrapText="0"/>
    </x:xf>
    <x:xf numFmtId="164" fontId="0" fillId="22" borderId="4" xfId="0" applyNumberFormat="1" applyFont="1" applyFill="1" applyBorder="1" applyAlignment="1">
      <x:alignment horizontal="general" vertical="center" wrapText="0"/>
    </x:xf>
    <x:xf numFmtId="202" fontId="24" fillId="21" borderId="4" xfId="0" applyNumberFormat="1" applyFont="1" applyFill="1" applyBorder="1" applyAlignment="1">
      <x:alignment horizontal="general" vertical="center" wrapText="0"/>
    </x:xf>
    <x:xf numFmtId="167" fontId="24" fillId="21" borderId="4" xfId="0" applyNumberFormat="1" applyFont="1" applyFill="1" applyBorder="1" applyAlignment="1">
      <x:alignment horizontal="general" vertical="center" wrapText="0"/>
    </x:xf>
    <x:xf numFmtId="207" fontId="24" fillId="21" borderId="4" xfId="0" applyNumberFormat="1" applyFont="1" applyFill="1" applyBorder="1" applyAlignment="1">
      <x:alignment horizontal="general" vertical="center" wrapText="0"/>
    </x:xf>
  </x:cellXfs>
  <x:cellStyles count="7">
    <x:cellStyle name="Normal" xfId="0"/>
    <x:cellStyle name="Comma" xfId="15"/>
    <x:cellStyle name="Comma [0]" xfId="16"/>
    <x:cellStyle name="Currency" xfId="17"/>
    <x:cellStyle name="Currency [0]" xfId="18"/>
    <x:cellStyle name="Percent" xfId="19"/>
    <x:cellStyle name="Normal" xfId="20"/>
  </x:cellStyles>
  <x:colors>
    <x:indexedColors>
      <x:rgbColor rgb="FF000000"/>
      <x:rgbColor rgb="FFFFFFFF"/>
      <x:rgbColor rgb="FFFF0000"/>
      <x:rgbColor rgb="FF00FF00"/>
      <x:rgbColor rgb="FF0000FF"/>
      <x:rgbColor rgb="FFFFFF00"/>
      <x:rgbColor rgb="FFFF00FF"/>
      <x:rgbColor rgb="FF00FFFF"/>
      <x:rgbColor rgb="FF800000"/>
      <x:rgbColor rgb="FF008000"/>
      <x:rgbColor rgb="FF000080"/>
      <x:rgbColor rgb="FF808000"/>
      <x:rgbColor rgb="FF800080"/>
      <x:rgbColor rgb="FF0F766E"/>
      <x:rgbColor rgb="FFCCCCCC"/>
      <x:rgbColor rgb="FF8B8B8B"/>
      <x:rgbColor rgb="FF9999FF"/>
      <x:rgbColor rgb="FF993366"/>
      <x:rgbColor rgb="FFFFF7E6"/>
      <x:rgbColor rgb="FFEAF2FF"/>
      <x:rgbColor rgb="FF660066"/>
      <x:rgbColor rgb="FFFF8080"/>
      <x:rgbColor rgb="FF0066CC"/>
      <x:rgbColor rgb="FFD9D9D9"/>
      <x:rgbColor rgb="FF000080"/>
      <x:rgbColor rgb="FFFF00FF"/>
      <x:rgbColor rgb="FFFFFF00"/>
      <x:rgbColor rgb="FF00FFFF"/>
      <x:rgbColor rgb="FF800080"/>
      <x:rgbColor rgb="FF800000"/>
      <x:rgbColor rgb="FF156082"/>
      <x:rgbColor rgb="FF0000FF"/>
      <x:rgbColor rgb="FF00CCFF"/>
      <x:rgbColor rgb="FFCCFFFF"/>
      <x:rgbColor rgb="FFCCFFCC"/>
      <x:rgbColor rgb="FFFFFF99"/>
      <x:rgbColor rgb="FF99CCFF"/>
      <x:rgbColor rgb="FFFF99CC"/>
      <x:rgbColor rgb="FFCC99FF"/>
      <x:rgbColor rgb="FFFFCC99"/>
      <x:rgbColor rgb="FF3366FF"/>
      <x:rgbColor rgb="FF33CCCC"/>
      <x:rgbColor rgb="FF99CC00"/>
      <x:rgbColor rgb="FFFFCC00"/>
      <x:rgbColor rgb="FFF59E0B"/>
      <x:rgbColor rgb="FFFF6600"/>
      <x:rgbColor rgb="FF666699"/>
      <x:rgbColor rgb="FF969696"/>
      <x:rgbColor rgb="FF1F3A5F"/>
      <x:rgbColor rgb="FF339966"/>
      <x:rgbColor rgb="FF111827"/>
      <x:rgbColor rgb="FF333300"/>
      <x:rgbColor rgb="FF993300"/>
      <x:rgbColor rgb="FF993366"/>
      <x:rgbColor rgb="FF333399"/>
      <x:rgbColor rgb="FF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9687e4c0bae8447e" /><Relationship Type="http://schemas.openxmlformats.org/officeDocument/2006/relationships/theme" Target="/xl/theme/theme1.xml" Id="R2fc761042aeb4497" /><Relationship Type="http://schemas.openxmlformats.org/officeDocument/2006/relationships/sharedStrings" Target="/xl/sharedStrings.xml" Id="Rb37f3db7502748de" /><Relationship Type="http://schemas.openxmlformats.org/officeDocument/2006/relationships/worksheet" Target="/xl/worksheets/sheet1.xml" Id="R027a6d97b7684f8a" /><Relationship Type="http://schemas.openxmlformats.org/officeDocument/2006/relationships/worksheet" Target="/xl/worksheets/sheet2.xml" Id="R99799a2d7fd54131" /><Relationship Type="http://schemas.openxmlformats.org/officeDocument/2006/relationships/worksheet" Target="/xl/worksheets/sheet3.xml" Id="R524dee4f20704a14" /><Relationship Type="http://schemas.openxmlformats.org/officeDocument/2006/relationships/worksheet" Target="/xl/worksheets/sheet4.xml" Id="R6e1b7dc2d5554f99" /><Relationship Type="http://schemas.openxmlformats.org/officeDocument/2006/relationships/worksheet" Target="/xl/worksheets/sheet5.xml" Id="Re03761ebe98a4df2" /><Relationship Type="http://schemas.openxmlformats.org/officeDocument/2006/relationships/worksheet" Target="/xl/worksheets/sheet6.xml" Id="R953de000cc504bc5" /><Relationship Type="http://schemas.openxmlformats.org/officeDocument/2006/relationships/worksheet" Target="/xl/worksheets/sheet7.xml" Id="R9a7ccdbc61d04729" /><Relationship Type="http://schemas.openxmlformats.org/officeDocument/2006/relationships/worksheet" Target="/xl/worksheets/sheet8.xml" Id="Rc09adfae3c354b84" /><Relationship Type="http://schemas.openxmlformats.org/officeDocument/2006/relationships/worksheet" Target="/xl/worksheets/sheet9.xml" Id="Ref24464ac2594b84" /><Relationship Type="http://schemas.openxmlformats.org/officeDocument/2006/relationships/worksheet" Target="/xl/worksheets/sheet10.xml" Id="Rfe084faa0c524e26" /><Relationship Type="http://schemas.openxmlformats.org/officeDocument/2006/relationships/worksheet" Target="/xl/worksheets/sheet11.xml" Id="Red7a60ff8bbf4bd6" /><Relationship Type="http://schemas.openxmlformats.org/officeDocument/2006/relationships/worksheet" Target="/xl/worksheets/sheet12.xml" Id="R341e71adb05b410b" /><Relationship Type="http://schemas.openxmlformats.org/officeDocument/2006/relationships/worksheet" Target="/xl/worksheets/sheet13.xml" Id="R7fac854899384e8c" /><Relationship Type="http://schemas.openxmlformats.org/officeDocument/2006/relationships/worksheet" Target="/xl/worksheets/sheet14.xml" Id="R60f9b2b870d04b3d" /><Relationship Type="http://schemas.openxmlformats.org/officeDocument/2006/relationships/worksheet" Target="/xl/worksheets/sheet15.xml" Id="Re41b78904946402d" /><Relationship Type="http://schemas.openxmlformats.org/officeDocument/2006/relationships/worksheet" Target="/xl/worksheets/sheet16.xml" Id="R91355fbb01e64c89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88bbfea72176489d" /></Relationships>
</file>

<file path=xl/drawings/charts/chart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sz="1800" b="1" u="none">
                <a:solidFill>
                  <a:srgbClr val="000000"/>
                </a:solidFill>
                <a:latin typeface="Calibri"/>
                <a:ea typeface="Calibri"/>
                <a:cs typeface="Calibri"/>
              </a:rPr>
              <a:t>モデル別 平均損益率</a:t>
            </a:r>
          </a:p>
        </c:rich>
      </c:tx>
      <c:overlay val="0"/>
      <c: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1800" b="1" u="none">
              <a:solidFill>
                <a:srgbClr val="000000"/>
              </a:solidFill>
              <a:latin typeface="Calibri"/>
              <a:ea typeface="Calibri"/>
              <a:cs typeface="Calibri"/>
            </a:defRPr>
          </a:pPr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"平均損益率"</c:f>
              <c:strCache>
                <c:ptCount val="1"/>
                <c:pt idx="0">
                  <c:v>平均損益率</c:v>
                </c:pt>
              </c:strCache>
            </c:strRef>
          </c:tx>
          <c:spPr>
            <a:solidFill xmlns:a="http://schemas.openxmlformats.org/drawingml/2006/main">
              <a:srgbClr val="156082"/>
            </a:solidFill>
            <a:ln xmlns:a="http://schemas.openxmlformats.org/drawingml/2006/main" w="12600">
              <a:noFill/>
            </a:ln>
          </c:spPr>
          <c:dLbls>
            <c:txPr>
              <a:bodyPr xmlns:a="http://schemas.openxmlformats.org/drawingml/2006/main" anchorCtr="1"/>
              <a:lstStyle xmlns:a="http://schemas.openxmlformats.org/drawingml/2006/main"/>
              <a:p xmlns:a="http://schemas.openxmlformats.org/drawingml/2006/main">
                <a:pPr>
                  <a:defRPr sz="1000" b="0" u="none">
                    <a:solidFill>
                      <a:srgbClr val="000000"/>
                    </a:solidFill>
                    <a:latin typeface="Calibri"/>
                    <a:ea typeface="Calibri"/>
                    <a:cs typeface="Calibri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howBubbleSize val="0"/>
            <c:showLeaderLines val="0"/>
          </c:dLbls>
          <c:cat>
            <c:strRef>
              <c:f>Dashboard!$N$5:$N$9</c:f>
              <c:strCache>
                <c:ptCount val="5"/>
                <c:pt idx="0">
                  <c:v>M1</c:v>
                </c:pt>
                <c:pt idx="1">
                  <c:v>M2</c:v>
                </c:pt>
                <c:pt idx="2">
                  <c:v>M3</c:v>
                </c:pt>
                <c:pt idx="3">
                  <c:v>M4</c:v>
                </c:pt>
                <c:pt idx="4">
                  <c:v>M5</c:v>
                </c:pt>
              </c:strCache>
            </c:strRef>
          </c:cat>
          <c:val>
            <c:numRef>
              <c:f>Dashboard!$O$5:$O$9</c:f>
              <c:numCache>
                <c:formatCode>General</c:formatCode>
                <c:ptCount val="0"/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gapWidth val="150"/>
        <c:overlap val="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360">
              <a:solidFill>
                <a:srgbClr val="CCCCCC"/>
              </a:solidFill>
              <a:prstDash val="dash"/>
            </a:ln>
          </c:spPr>
        </c:majorGridlines>
        <c:numFmt formatCode="General" sourceLinked="0"/>
        <c:majorTickMark val="none"/>
        <c:minorTickMark val="none"/>
        <c:tickLblPos val="nextTo"/>
        <c:spPr>
          <a:ln xmlns:a="http://schemas.openxmlformats.org/drawingml/2006/main" w="12600">
            <a:solidFill>
              <a:srgbClr val="8B8B8B"/>
            </a:solidFill>
          </a:ln>
        </c:spPr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1000" b="0" u="none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</a:p>
        </c:txPr>
        <c:crossAx val="48672768"/>
        <c:crosses val="autoZero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360">
              <a:solidFill>
                <a:srgbClr val="CCCCCC"/>
              </a:solidFill>
              <a:prstDash val="dash"/>
            </a:ln>
          </c:spPr>
        </c:majorGridlines>
        <c:numFmt formatCode="General" sourceLinked="0"/>
        <c:majorTickMark val="none"/>
        <c:minorTickMark val="none"/>
        <c:tickLblPos val="nextTo"/>
        <c:spPr>
          <a:ln xmlns:a="http://schemas.openxmlformats.org/drawingml/2006/main" w="12600">
            <a:solidFill>
              <a:srgbClr val="8B8B8B"/>
            </a:solidFill>
          </a:ln>
        </c:spPr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1000" b="0" u="none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</a:p>
        </c:txPr>
        <c:crossAx val="48650112"/>
        <c:crosses val="autoZero"/>
        <c:crossBetween val="between"/>
      </c:valAx>
    </c:plotArea>
    <c:legend>
      <c:legendPos val="b"/>
      <c:overlay val="0"/>
      <c:spPr>
        <a:noFill xmlns:a="http://schemas.openxmlformats.org/drawingml/2006/main"/>
      </c:spPr>
      <c: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1000" b="0" u="none">
              <a:solidFill>
                <a:srgbClr val="000000"/>
              </a:solidFill>
              <a:latin typeface="Calibri"/>
              <a:ea typeface="Calibri"/>
              <a:cs typeface="Calibri"/>
            </a:defRPr>
          </a:pPr>
        </a:p>
      </c:txPr>
    </c:legend>
    <c:plotVisOnly val="1"/>
  </c:chart>
  <c: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</a:ln>
  </c:spPr>
</c:chartSpace>
</file>

<file path=xl/drawings/drawing1.xml><?xml version="1.0" encoding="utf-8"?>
<xdr:wsDr xmlns:xdr="http://schemas.openxmlformats.org/drawingml/2006/spreadsheetDrawing">
  <xdr:twoCellAnchor>
    <xdr:from>
      <xdr:col>3</xdr:col>
      <xdr:colOff>0</xdr:colOff>
      <xdr:row>10</xdr:row>
      <xdr:rowOff>0</xdr:rowOff>
    </xdr:from>
    <xdr:to>
      <xdr:col>8</xdr:col>
      <xdr:colOff>420840</xdr:colOff>
      <xdr:row>22</xdr:row>
      <xdr:rowOff>95040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88bbfea72176489d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ChatGPT">
  <a:themeElements>
    <a:clrScheme name="ChatGPT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prstDash val="solid"/>
        </a:ln>
        <a:ln w="19050">
          <a:prstDash val="solid"/>
        </a:ln>
        <a:ln w="254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32cba45900ce4e14" /></Relationships>
</file>

<file path=xl/worksheets/sheet1.xml><?xml version="1.0" encoding="utf-8"?>
<x:worksheet xmlns:x="http://schemas.openxmlformats.org/spreadsheetml/2006/main">
  <x:sheetViews>
    <x:sheetView showGridLines="1" workbookViewId="0"/>
  </x:sheetViews>
  <x:sheetFormatPr defaultColWidth="8.6796875" defaultRowHeight="15"/>
  <x:cols>
    <x:col min="1" max="1" width="18" hidden="0" customWidth="1"/>
    <x:col min="2" max="2" width="34" hidden="0" customWidth="1"/>
    <x:col min="3" max="3" width="4" hidden="0" customWidth="1"/>
    <x:col min="4" max="4" width="10" hidden="0" customWidth="1"/>
    <x:col min="5" max="5" width="24" hidden="0" customWidth="1"/>
    <x:col min="6" max="7" width="10" hidden="0" customWidth="1"/>
    <x:col min="8" max="8" width="13" hidden="0" customWidth="1"/>
    <x:col min="9" max="9" width="10" hidden="0" customWidth="1"/>
    <x:col min="10" max="11" width="12" hidden="0" customWidth="1"/>
    <x:col min="12" max="12" width="34" hidden="0" customWidth="1"/>
    <x:col min="13" max="13" width="3" hidden="0" customWidth="1"/>
    <x:col min="14" max="14" width="8" hidden="0" customWidth="1"/>
    <x:col min="15" max="15" width="12" hidden="0" customWidth="1"/>
  </x:cols>
  <x:sheetData>
    <x:row r="1" ht="15" hidden="0">
      <x:c r="A1" s="1" t="s">
        <x:v>0</x:v>
      </x:c>
      <x:c r="B1" s="1"/>
      <x:c r="C1" s="1"/>
      <x:c r="D1" s="1"/>
      <x:c r="E1" s="1"/>
      <x:c r="F1" s="1"/>
      <x:c r="G1" s="1"/>
      <x:c r="H1" s="1"/>
      <x:c r="I1" s="1"/>
      <x:c r="J1" s="1"/>
      <x:c r="K1" s="1"/>
      <x:c r="L1" s="1"/>
      <x:c r="M1" s="2"/>
      <x:c r="N1" s="2"/>
      <x:c r="O1" s="2"/>
    </x:row>
    <x:row r="2" ht="15" hidden="0">
      <x:c r="A2" s="2"/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</x:row>
    <x:row r="3" ht="15" hidden="0">
      <x:c r="A3" s="3" t="s">
        <x:v>1</x:v>
      </x:c>
      <x:c r="B3" s="4" t="n">
        <x:v>46187</x:v>
      </x:c>
      <x:c r="C3" s="2"/>
      <x:c r="D3" s="5" t="s">
        <x:v>2</x:v>
      </x:c>
      <x:c r="E3" s="5"/>
      <x:c r="F3" s="5"/>
      <x:c r="G3" s="5"/>
      <x:c r="H3" s="5"/>
      <x:c r="I3" s="5"/>
      <x:c r="J3" s="5"/>
      <x:c r="K3" s="5"/>
      <x:c r="L3" s="5"/>
      <x:c r="M3" s="2"/>
      <x:c r="N3" s="2"/>
      <x:c r="O3" s="2"/>
    </x:row>
    <x:row r="4" ht="15" hidden="0">
      <x:c r="A4" s="3" t="s">
        <x:v>3</x:v>
      </x:c>
      <x:c r="B4" s="4" t="s">
        <x:v>4</x:v>
      </x:c>
      <x:c r="C4" s="2"/>
      <x:c r="D4" s="6" t="s">
        <x:v>5</x:v>
      </x:c>
      <x:c r="E4" s="7" t="s">
        <x:v>6</x:v>
      </x:c>
      <x:c r="F4" s="7" t="s">
        <x:v>7</x:v>
      </x:c>
      <x:c r="G4" s="7" t="s">
        <x:v>8</x:v>
      </x:c>
      <x:c r="H4" s="7" t="s">
        <x:v>9</x:v>
      </x:c>
      <x:c r="I4" s="7" t="s">
        <x:v>10</x:v>
      </x:c>
      <x:c r="J4" s="7" t="s">
        <x:v>11</x:v>
      </x:c>
      <x:c r="K4" s="7" t="s">
        <x:v>12</x:v>
      </x:c>
      <x:c r="L4" s="7" t="s">
        <x:v>13</x:v>
      </x:c>
      <x:c r="M4" s="2"/>
      <x:c r="N4" s="2" t="s">
        <x:v>14</x:v>
      </x:c>
      <x:c r="O4" s="8" t="s">
        <x:v>9</x:v>
      </x:c>
    </x:row>
    <x:row r="5" ht="15" hidden="0">
      <x:c r="A5" s="3" t="s">
        <x:v>15</x:v>
      </x:c>
      <x:c r="B5" s="9" t="s">
        <x:v>16</x:v>
      </x:c>
      <x:c r="C5" s="2"/>
      <x:c r="D5" s="10" t="s">
        <x:v>17</x:v>
      </x:c>
      <x:c r="E5" s="3" t="s">
        <x:v>18</x:v>
      </x:c>
      <x:c r="F5" s="10" t="n">
        <x:f aca="0">COUNTIF('Trade Log'!C:C,D5)</x:f>
        <x:v>1</x:v>
      </x:c>
      <x:c r="G5" s="10" t="n">
        <x:f aca="0">COUNTIFS('Trade Log'!C:C,D5,'Trade Log'!M:M,"&lt;&gt;")</x:f>
        <x:v>0</x:v>
      </x:c>
      <x:c r="H5" s="10" t="str">
        <x:f aca="0">IFERROR(AVERAGEIFS('Trade Log'!N:N,'Trade Log'!C:C,D5),"")</x:f>
      </x:c>
      <x:c r="I5" s="10" t="str">
        <x:f aca="0">IF(G5=0,"",COUNTIFS('Trade Log'!C:C,D5,'Trade Log'!N:N,"&gt;0")/G5)</x:f>
      </x:c>
      <x:c r="J5" s="10" t="n">
        <x:f aca="0">COUNTIFS('Trade Log'!C:C,D5,'Trade Log'!R:R,"&lt;&gt;なし",'Trade Log'!R:R,"&lt;&gt;")</x:f>
        <x:v>0</x:v>
      </x:c>
      <x:c r="K5" s="10" t="str">
        <x:f aca="0">IF(F5=0,"未入力",IF(J5&gt;0,"要確認","観察中"))</x:f>
        <x:v>観察中</x:v>
      </x:c>
      <x:c r="L5" s="10"/>
      <x:c r="M5" s="2"/>
      <x:c r="N5" s="2" t="s">
        <x:v>17</x:v>
      </x:c>
      <x:c r="O5" s="2" t="str">
        <x:f aca="0">H5</x:f>
      </x:c>
    </x:row>
    <x:row r="6" ht="15" hidden="0">
      <x:c r="A6" s="3" t="s">
        <x:v>19</x:v>
      </x:c>
      <x:c r="B6" s="4" t="s">
        <x:v>20</x:v>
      </x:c>
      <x:c r="C6" s="2"/>
      <x:c r="D6" s="10" t="s">
        <x:v>21</x:v>
      </x:c>
      <x:c r="E6" s="3" t="s">
        <x:v>22</x:v>
      </x:c>
      <x:c r="F6" s="10" t="n">
        <x:f aca="0">COUNTIF('Trade Log'!C:C,D6)</x:f>
        <x:v>0</x:v>
      </x:c>
      <x:c r="G6" s="10" t="n">
        <x:f aca="0">COUNTIFS('Trade Log'!C:C,D6,'Trade Log'!M:M,"&lt;&gt;")</x:f>
        <x:v>0</x:v>
      </x:c>
      <x:c r="H6" s="10" t="str">
        <x:f aca="0">IFERROR(AVERAGEIFS('Trade Log'!N:N,'Trade Log'!C:C,D6),"")</x:f>
      </x:c>
      <x:c r="I6" s="10" t="str">
        <x:f aca="0">IF(G6=0,"",COUNTIFS('Trade Log'!C:C,D6,'Trade Log'!N:N,"&gt;0")/G6)</x:f>
      </x:c>
      <x:c r="J6" s="10" t="n">
        <x:f aca="0">COUNTIFS('Trade Log'!C:C,D6,'Trade Log'!R:R,"&lt;&gt;なし",'Trade Log'!R:R,"&lt;&gt;")</x:f>
        <x:v>0</x:v>
      </x:c>
      <x:c r="K6" s="10" t="str">
        <x:f aca="0">IF(F6=0,"未入力",IF(J6&gt;0,"要確認","観察中"))</x:f>
        <x:v>未入力</x:v>
      </x:c>
      <x:c r="L6" s="10"/>
      <x:c r="M6" s="2"/>
      <x:c r="N6" s="2" t="s">
        <x:v>21</x:v>
      </x:c>
      <x:c r="O6" s="2" t="str">
        <x:f aca="0">H6</x:f>
      </x:c>
    </x:row>
    <x:row r="7" ht="15" hidden="0">
      <x:c r="A7" s="3" t="s">
        <x:v>23</x:v>
      </x:c>
      <x:c r="B7" s="9" t="s">
        <x:v>24</x:v>
      </x:c>
      <x:c r="C7" s="2"/>
      <x:c r="D7" s="10" t="s">
        <x:v>25</x:v>
      </x:c>
      <x:c r="E7" s="10" t="s">
        <x:v>26</x:v>
      </x:c>
      <x:c r="F7" s="10" t="n">
        <x:f aca="0">COUNTIF('Trade Log'!C:C,D7)</x:f>
        <x:v>0</x:v>
      </x:c>
      <x:c r="G7" s="10" t="n">
        <x:f aca="0">COUNTIFS('Trade Log'!C:C,D7,'Trade Log'!M:M,"&lt;&gt;")</x:f>
        <x:v>0</x:v>
      </x:c>
      <x:c r="H7" s="10" t="str">
        <x:f aca="0">IFERROR(AVERAGEIFS('Trade Log'!N:N,'Trade Log'!C:C,D7),"")</x:f>
      </x:c>
      <x:c r="I7" s="10" t="str">
        <x:f aca="0">IF(G7=0,"",COUNTIFS('Trade Log'!C:C,D7,'Trade Log'!N:N,"&gt;0")/G7)</x:f>
      </x:c>
      <x:c r="J7" s="10" t="n">
        <x:f aca="0">COUNTIFS('Trade Log'!C:C,D7,'Trade Log'!R:R,"&lt;&gt;なし",'Trade Log'!R:R,"&lt;&gt;")</x:f>
        <x:v>0</x:v>
      </x:c>
      <x:c r="K7" s="10" t="str">
        <x:f aca="0">IF(F7=0,"未入力",IF(J7&gt;0,"要確認","観察中"))</x:f>
        <x:v>未入力</x:v>
      </x:c>
      <x:c r="L7" s="10"/>
      <x:c r="M7" s="2"/>
      <x:c r="N7" s="2" t="s">
        <x:v>25</x:v>
      </x:c>
      <x:c r="O7" s="2" t="str">
        <x:f aca="0">H7</x:f>
      </x:c>
    </x:row>
    <x:row r="8" ht="15" hidden="0">
      <x:c r="A8" s="3" t="s">
        <x:v>27</x:v>
      </x:c>
      <x:c r="B8" s="9" t="s">
        <x:v>28</x:v>
      </x:c>
      <x:c r="C8" s="2"/>
      <x:c r="D8" s="10" t="s">
        <x:v>29</x:v>
      </x:c>
      <x:c r="E8" s="3" t="s">
        <x:v>30</x:v>
      </x:c>
      <x:c r="F8" s="10" t="n">
        <x:f aca="0">COUNTIF('Trade Log'!C:C,D8)</x:f>
        <x:v>0</x:v>
      </x:c>
      <x:c r="G8" s="10" t="n">
        <x:f aca="0">COUNTIFS('Trade Log'!C:C,D8,'Trade Log'!M:M,"&lt;&gt;")</x:f>
        <x:v>0</x:v>
      </x:c>
      <x:c r="H8" s="10" t="str">
        <x:f aca="0">IFERROR(AVERAGEIFS('Trade Log'!N:N,'Trade Log'!C:C,D8),"")</x:f>
      </x:c>
      <x:c r="I8" s="10" t="str">
        <x:f aca="0">IF(G8=0,"",COUNTIFS('Trade Log'!C:C,D8,'Trade Log'!N:N,"&gt;0")/G8)</x:f>
      </x:c>
      <x:c r="J8" s="10" t="n">
        <x:f aca="0">COUNTIFS('Trade Log'!C:C,D8,'Trade Log'!R:R,"&lt;&gt;なし",'Trade Log'!R:R,"&lt;&gt;")</x:f>
        <x:v>0</x:v>
      </x:c>
      <x:c r="K8" s="10" t="str">
        <x:f aca="0">IF(F8=0,"未入力",IF(J8&gt;0,"要確認","観察中"))</x:f>
        <x:v>未入力</x:v>
      </x:c>
      <x:c r="L8" s="10"/>
      <x:c r="M8" s="2"/>
      <x:c r="N8" s="2" t="s">
        <x:v>29</x:v>
      </x:c>
      <x:c r="O8" s="2" t="str">
        <x:f aca="0">H8</x:f>
      </x:c>
    </x:row>
    <x:row r="9" ht="15" hidden="0">
      <x:c r="A9" s="2"/>
      <x:c r="B9" s="2"/>
      <x:c r="C9" s="2"/>
      <x:c r="D9" s="10" t="s">
        <x:v>31</x:v>
      </x:c>
      <x:c r="E9" s="3" t="s">
        <x:v>32</x:v>
      </x:c>
      <x:c r="F9" s="10" t="n">
        <x:f aca="0">COUNTIF('Trade Log'!C:C,D9)</x:f>
        <x:v>2</x:v>
      </x:c>
      <x:c r="G9" s="10" t="n">
        <x:f aca="0">COUNTIFS('Trade Log'!C:C,D9,'Trade Log'!M:M,"&lt;&gt;")</x:f>
        <x:v>0</x:v>
      </x:c>
      <x:c r="H9" s="10" t="str">
        <x:f aca="0">IFERROR(AVERAGEIFS('Trade Log'!N:N,'Trade Log'!C:C,D9),"")</x:f>
      </x:c>
      <x:c r="I9" s="10" t="str">
        <x:f aca="0">IF(G9=0,"",COUNTIFS('Trade Log'!C:C,D9,'Trade Log'!N:N,"&gt;0")/G9)</x:f>
      </x:c>
      <x:c r="J9" s="10" t="n">
        <x:f aca="0">COUNTIFS('Trade Log'!C:C,D9,'Trade Log'!R:R,"&lt;&gt;なし",'Trade Log'!R:R,"&lt;&gt;")</x:f>
        <x:v>0</x:v>
      </x:c>
      <x:c r="K9" s="10" t="str">
        <x:f aca="0">IF(F9=0,"未入力",IF(J9&gt;0,"要確認","観察中"))</x:f>
        <x:v>観察中</x:v>
      </x:c>
      <x:c r="L9" s="10"/>
      <x:c r="M9" s="2"/>
      <x:c r="N9" s="2" t="s">
        <x:v>31</x:v>
      </x:c>
      <x:c r="O9" s="2" t="n">
        <x:f aca="0">H9</x:f>
        <x:v>0</x:v>
      </x:c>
    </x:row>
    <x:row r="10" ht="15" hidden="0">
      <x:c r="A10" s="2"/>
      <x:c r="B10" s="2"/>
      <x:c r="C10" s="2"/>
      <x:c r="D10" s="2"/>
      <x:c r="E10" s="2"/>
      <x:c r="F10" s="2"/>
      <x:c r="G10" s="2"/>
      <x:c r="H10" s="2"/>
      <x:c r="I10" s="2"/>
      <x:c r="J10" s="2"/>
      <x:c r="K10" s="2"/>
      <x:c r="L10" s="2"/>
      <x:c r="M10" s="2"/>
      <x:c r="N10" s="2"/>
      <x:c r="O10" s="2"/>
    </x:row>
    <x:row r="11" ht="15" hidden="0">
      <x:c r="A11" s="11" t="s">
        <x:v>33</x:v>
      </x:c>
      <x:c r="B11" s="11"/>
      <x:c r="C11" s="11"/>
      <x:c r="D11" s="2"/>
      <x:c r="E11" s="2"/>
      <x:c r="F11" s="2"/>
      <x:c r="G11" s="2"/>
      <x:c r="H11" s="2"/>
      <x:c r="I11" s="2"/>
      <x:c r="J11" s="2"/>
      <x:c r="K11" s="2"/>
      <x:c r="L11" s="2"/>
      <x:c r="M11" s="2"/>
      <x:c r="N11" s="2"/>
      <x:c r="O11" s="2"/>
    </x:row>
    <x:row r="12" ht="15" hidden="0">
      <x:c r="A12" s="3" t="s">
        <x:v>34</x:v>
      </x:c>
      <x:c r="B12" s="10" t="s">
        <x:v>35</x:v>
      </x:c>
      <x:c r="C12" s="10" t="s">
        <x:v>36</x:v>
      </x:c>
      <x:c r="D12" s="2"/>
      <x:c r="E12" s="2"/>
      <x:c r="F12" s="2"/>
      <x:c r="G12" s="2"/>
      <x:c r="H12" s="2"/>
      <x:c r="I12" s="2"/>
      <x:c r="J12" s="2"/>
      <x:c r="K12" s="2"/>
      <x:c r="L12" s="2"/>
      <x:c r="M12" s="2"/>
      <x:c r="N12" s="2"/>
      <x:c r="O12" s="2"/>
    </x:row>
    <x:row r="13" ht="15" hidden="0">
      <x:c r="A13" s="3" t="s">
        <x:v>34</x:v>
      </x:c>
      <x:c r="B13" s="10" t="s">
        <x:v>37</x:v>
      </x:c>
      <x:c r="C13" s="10" t="s">
        <x:v>36</x:v>
      </x:c>
      <x:c r="D13" s="2"/>
      <x:c r="E13" s="2"/>
      <x:c r="F13" s="2"/>
      <x:c r="G13" s="2"/>
      <x:c r="H13" s="2"/>
      <x:c r="I13" s="2"/>
      <x:c r="J13" s="2"/>
      <x:c r="K13" s="2"/>
      <x:c r="L13" s="2"/>
      <x:c r="M13" s="2"/>
      <x:c r="N13" s="2"/>
      <x:c r="O13" s="2"/>
    </x:row>
    <x:row r="14" ht="15" hidden="0">
      <x:c r="A14" s="3" t="s">
        <x:v>38</x:v>
      </x:c>
      <x:c r="B14" s="10" t="s">
        <x:v>39</x:v>
      </x:c>
      <x:c r="C14" s="10" t="s">
        <x:v>40</x:v>
      </x:c>
      <x:c r="D14" s="2"/>
      <x:c r="E14" s="2"/>
      <x:c r="F14" s="2"/>
      <x:c r="G14" s="2"/>
      <x:c r="H14" s="2"/>
      <x:c r="I14" s="2"/>
      <x:c r="J14" s="2"/>
      <x:c r="K14" s="2"/>
      <x:c r="L14" s="2"/>
      <x:c r="M14" s="2"/>
      <x:c r="N14" s="2"/>
      <x:c r="O14" s="2"/>
    </x:row>
    <x:row r="15" ht="15" hidden="0">
      <x:c r="A15" s="3" t="s">
        <x:v>41</x:v>
      </x:c>
      <x:c r="B15" s="3" t="s">
        <x:v>42</x:v>
      </x:c>
      <x:c r="C15" s="10"/>
      <x:c r="D15" s="2"/>
      <x:c r="E15" s="2"/>
      <x:c r="F15" s="2"/>
      <x:c r="G15" s="2"/>
      <x:c r="H15" s="2"/>
      <x:c r="I15" s="2"/>
      <x:c r="J15" s="2"/>
      <x:c r="K15" s="2"/>
      <x:c r="L15" s="2"/>
      <x:c r="M15" s="2"/>
      <x:c r="N15" s="2"/>
      <x:c r="O15" s="2"/>
    </x:row>
    <x:row r="16" ht="15" hidden="0">
      <x:c r="A16" s="3" t="s">
        <x:v>43</x:v>
      </x:c>
      <x:c r="B16" s="3" t="s">
        <x:v>44</x:v>
      </x:c>
      <x:c r="C16" s="10"/>
      <x:c r="D16" s="2"/>
      <x:c r="E16" s="2"/>
      <x:c r="F16" s="2"/>
      <x:c r="G16" s="2"/>
      <x:c r="H16" s="2"/>
      <x:c r="I16" s="2"/>
      <x:c r="J16" s="2"/>
      <x:c r="K16" s="2"/>
      <x:c r="L16" s="2"/>
      <x:c r="M16" s="2"/>
      <x:c r="N16" s="2"/>
      <x:c r="O16" s="2"/>
    </x:row>
  </x:sheetData>
  <x:mergeCells>
    <x:mergeCell ref="A1:L1"/>
    <x:mergeCell ref="D3:L3"/>
    <x:mergeCell ref="A11:C11"/>
  </x:mergeCells>
  <x:pageMargins left="0.7" right="0.7" top="0.75" bottom="0.75" header="0.3" footer="0.3"/>
  <x:drawing xmlns:r="http://schemas.openxmlformats.org/officeDocument/2006/relationships" r:id="R32cba45900ce4e14"/>
</x:worksheet>
</file>

<file path=xl/worksheets/sheet2.xml><?xml version="1.0" encoding="utf-8"?>
<x:worksheet xmlns:x="http://schemas.openxmlformats.org/spreadsheetml/2006/main">
  <x:sheetViews>
    <x:sheetView showGridLines="1" workbookViewId="0"/>
  </x:sheetViews>
  <x:sheetFormatPr defaultColWidth="8.6796875" defaultRowHeight="15"/>
  <x:cols>
    <x:col min="1" max="1" width="10" hidden="0" customWidth="1"/>
    <x:col min="2" max="2" width="24" hidden="0" customWidth="1"/>
    <x:col min="3" max="4" width="35" hidden="0" customWidth="1"/>
    <x:col min="5" max="5" width="38" hidden="0" customWidth="1"/>
    <x:col min="6" max="7" width="34" hidden="0" customWidth="1"/>
    <x:col min="8" max="8" width="38" hidden="0" customWidth="1"/>
    <x:col min="9" max="9" width="30" hidden="0" customWidth="1"/>
    <x:col min="10" max="10" width="28" hidden="0" customWidth="1"/>
  </x:cols>
  <x:sheetData>
    <x:row r="1" ht="15" hidden="0">
      <x:c r="A1" s="12" t="s">
        <x:v>45</x:v>
      </x:c>
      <x:c r="B1" s="12"/>
      <x:c r="C1" s="12"/>
      <x:c r="D1" s="12"/>
      <x:c r="E1" s="12"/>
      <x:c r="F1" s="12"/>
      <x:c r="G1" s="12"/>
      <x:c r="H1" s="12"/>
      <x:c r="I1" s="12"/>
      <x:c r="J1" s="12"/>
    </x:row>
    <x:row r="2" ht="15" hidden="0">
      <x:c r="A2" s="2"/>
      <x:c r="B2" s="2"/>
      <x:c r="C2" s="2"/>
      <x:c r="D2" s="2"/>
      <x:c r="E2" s="2"/>
      <x:c r="F2" s="2"/>
      <x:c r="G2" s="2"/>
      <x:c r="H2" s="2"/>
      <x:c r="I2" s="2"/>
      <x:c r="J2" s="2"/>
    </x:row>
    <x:row r="3" ht="15" hidden="0">
      <x:c r="A3" s="6" t="s">
        <x:v>5</x:v>
      </x:c>
      <x:c r="B3" s="7" t="s">
        <x:v>6</x:v>
      </x:c>
      <x:c r="C3" s="7" t="s">
        <x:v>46</x:v>
      </x:c>
      <x:c r="D3" s="7" t="s">
        <x:v>47</x:v>
      </x:c>
      <x:c r="E3" s="7" t="s">
        <x:v>48</x:v>
      </x:c>
      <x:c r="F3" s="7" t="s">
        <x:v>49</x:v>
      </x:c>
      <x:c r="G3" s="7" t="s">
        <x:v>50</x:v>
      </x:c>
      <x:c r="H3" s="6" t="s">
        <x:v>51</x:v>
      </x:c>
      <x:c r="I3" s="7" t="s">
        <x:v>52</x:v>
      </x:c>
      <x:c r="J3" s="7" t="s">
        <x:v>53</x:v>
      </x:c>
    </x:row>
    <x:row r="4" ht="15" hidden="0">
      <x:c r="A4" s="10" t="s">
        <x:v>17</x:v>
      </x:c>
      <x:c r="B4" s="3" t="s">
        <x:v>18</x:v>
      </x:c>
      <x:c r="C4" s="3" t="s">
        <x:v>54</x:v>
      </x:c>
      <x:c r="D4" s="3" t="s">
        <x:v>55</x:v>
      </x:c>
      <x:c r="E4" s="3" t="s">
        <x:v>56</x:v>
      </x:c>
      <x:c r="F4" s="3" t="s">
        <x:v>57</x:v>
      </x:c>
      <x:c r="G4" s="3" t="s">
        <x:v>58</x:v>
      </x:c>
      <x:c r="H4" s="3" t="s">
        <x:v>59</x:v>
      </x:c>
      <x:c r="I4" s="3" t="s">
        <x:v>60</x:v>
      </x:c>
      <x:c r="J4" s="3" t="s">
        <x:v>61</x:v>
      </x:c>
    </x:row>
    <x:row r="5" ht="15" hidden="0">
      <x:c r="A5" s="10" t="s">
        <x:v>21</x:v>
      </x:c>
      <x:c r="B5" s="3" t="s">
        <x:v>22</x:v>
      </x:c>
      <x:c r="C5" s="3" t="s">
        <x:v>62</x:v>
      </x:c>
      <x:c r="D5" s="3" t="s">
        <x:v>63</x:v>
      </x:c>
      <x:c r="E5" s="3" t="s">
        <x:v>64</x:v>
      </x:c>
      <x:c r="F5" s="3" t="s">
        <x:v>65</x:v>
      </x:c>
      <x:c r="G5" s="3" t="s">
        <x:v>66</x:v>
      </x:c>
      <x:c r="H5" s="3" t="s">
        <x:v>67</x:v>
      </x:c>
      <x:c r="I5" s="3" t="s">
        <x:v>68</x:v>
      </x:c>
      <x:c r="J5" s="3" t="s">
        <x:v>69</x:v>
      </x:c>
    </x:row>
    <x:row r="6" ht="15" hidden="0">
      <x:c r="A6" s="10" t="s">
        <x:v>25</x:v>
      </x:c>
      <x:c r="B6" s="10" t="s">
        <x:v>26</x:v>
      </x:c>
      <x:c r="C6" s="3" t="s">
        <x:v>70</x:v>
      </x:c>
      <x:c r="D6" s="3" t="s">
        <x:v>71</x:v>
      </x:c>
      <x:c r="E6" s="3" t="s">
        <x:v>72</x:v>
      </x:c>
      <x:c r="F6" s="10" t="s">
        <x:v>73</x:v>
      </x:c>
      <x:c r="G6" s="10" t="s">
        <x:v>74</x:v>
      </x:c>
      <x:c r="H6" s="3" t="s">
        <x:v>75</x:v>
      </x:c>
      <x:c r="I6" s="3" t="s">
        <x:v>76</x:v>
      </x:c>
      <x:c r="J6" s="3" t="s">
        <x:v>77</x:v>
      </x:c>
    </x:row>
    <x:row r="7" ht="15" hidden="0">
      <x:c r="A7" s="10" t="s">
        <x:v>29</x:v>
      </x:c>
      <x:c r="B7" s="3" t="s">
        <x:v>30</x:v>
      </x:c>
      <x:c r="C7" s="3" t="s">
        <x:v>78</x:v>
      </x:c>
      <x:c r="D7" s="3" t="s">
        <x:v>79</x:v>
      </x:c>
      <x:c r="E7" s="3" t="s">
        <x:v>80</x:v>
      </x:c>
      <x:c r="F7" s="3" t="s">
        <x:v>81</x:v>
      </x:c>
      <x:c r="G7" s="3" t="s">
        <x:v>82</x:v>
      </x:c>
      <x:c r="H7" s="3" t="s">
        <x:v>83</x:v>
      </x:c>
      <x:c r="I7" s="3" t="s">
        <x:v>84</x:v>
      </x:c>
      <x:c r="J7" s="3" t="s">
        <x:v>85</x:v>
      </x:c>
    </x:row>
    <x:row r="8" ht="15" hidden="0">
      <x:c r="A8" s="10" t="s">
        <x:v>31</x:v>
      </x:c>
      <x:c r="B8" s="3" t="s">
        <x:v>32</x:v>
      </x:c>
      <x:c r="C8" s="3" t="s">
        <x:v>86</x:v>
      </x:c>
      <x:c r="D8" s="3" t="s">
        <x:v>87</x:v>
      </x:c>
      <x:c r="E8" s="3" t="s">
        <x:v>88</x:v>
      </x:c>
      <x:c r="F8" s="10" t="s">
        <x:v>89</x:v>
      </x:c>
      <x:c r="G8" s="3" t="s">
        <x:v>90</x:v>
      </x:c>
      <x:c r="H8" s="3" t="s">
        <x:v>91</x:v>
      </x:c>
      <x:c r="I8" s="3" t="s">
        <x:v>92</x:v>
      </x:c>
      <x:c r="J8" s="3" t="s">
        <x:v>93</x:v>
      </x:c>
    </x:row>
  </x:sheetData>
  <x:mergeCells>
    <x:mergeCell ref="A1:J1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ColWidth="8.6796875" defaultRowHeight="15"/>
  <x:cols>
    <x:col min="1" max="1" width="9" hidden="0" customWidth="1"/>
    <x:col min="2" max="2" width="16" hidden="0" customWidth="1"/>
    <x:col min="3" max="3" width="15" hidden="0" customWidth="1"/>
    <x:col min="4" max="4" width="12" hidden="0" customWidth="1"/>
    <x:col min="5" max="6" width="16" hidden="0" customWidth="1"/>
    <x:col min="7" max="7" width="14" hidden="0" customWidth="1"/>
    <x:col min="5" max="5" width="12" hidden="0" customWidth="1"/>
    <x:col min="6" max="6" width="13" hidden="0" customWidth="1"/>
    <x:col min="8" max="8" width="14" hidden="0" customWidth="1"/>
    <x:col min="9" max="9" width="13" hidden="0" customWidth="1"/>
    <x:col min="10" max="10" width="12" hidden="0" customWidth="1"/>
    <x:col min="11" max="11" width="8" hidden="0" customWidth="1"/>
    <x:col min="12" max="12" width="13" hidden="0" customWidth="1"/>
    <x:col min="13" max="13" width="11" hidden="0" customWidth="1"/>
    <x:col min="14" max="14" width="12" hidden="0" customWidth="1"/>
    <x:col min="15" max="15" width="12" hidden="0" customWidth="1"/>
    <x:col min="16" max="16" width="13" hidden="0" customWidth="1"/>
  </x:cols>
  <x:sheetData>
    <x:row r="1" ht="26" hidden="0" customHeight="1">
      <x:c r="A1" s="97" t="str">
        <x:v>ステップ2：損切り・利確ルールの効き目検証（仕様v1）</x:v>
      </x:c>
      <x:c r="B1" s="97" t="str">
        <x:v>ステップ2：損切り・利確ルールの効き目検証（仕様v1）</x:v>
      </x:c>
      <x:c r="C1" s="97" t="str">
        <x:v>ステップ2：損切り・利確ルールの効き目検証（仕様v1）</x:v>
      </x:c>
      <x:c r="D1" s="97" t="str">
        <x:v>ステップ2：損切り・利確ルールの効き目検証（仕様v1）</x:v>
      </x:c>
      <x:c r="E1" s="97" t="str">
        <x:v>ステップ2：損切り・利確ルールの効き目検証（仕様v1）</x:v>
      </x:c>
      <x:c r="F1" s="97" t="str">
        <x:v>ステップ2：損切り・利確ルールの効き目検証（仕様v1）</x:v>
      </x:c>
      <x:c r="G1" s="97" t="str">
        <x:v>ステップ2：損切り・利確ルールの効き目検証（仕様v1）</x:v>
      </x:c>
      <x:c r="H1" s="97" t="str">
        <x:v>ステップ2：損切り・利確ルールの効き目検証（仕様v1）</x:v>
      </x:c>
      <x:c r="I1" s="97" t="str">
        <x:v>ステップ2：損切り・利確ルールの効き目検証（仕様v1）</x:v>
      </x:c>
      <x:c r="J1" s="97" t="str">
        <x:v>ステップ2：損切り・利確ルールの効き目検証（仕様v1）</x:v>
      </x:c>
      <x:c r="K1" s="97" t="str">
        <x:v>ステップ2：損切り・利確ルールの効き目検証（仕様v1）</x:v>
      </x:c>
      <x:c r="L1" s="97" t="str">
        <x:v>ステップ2：損切り・利確ルールの効き目検証（仕様v1）</x:v>
      </x:c>
      <x:c r="M1" s="97" t="str">
        <x:v>ステップ2：損切り・利確ルールの効き目検証（仕様v1）</x:v>
      </x:c>
      <x:c r="N1" s="97" t="str">
        <x:v>ステップ2：損切り・利確ルールの効き目検証（仕様v1）</x:v>
      </x:c>
      <x:c r="O1" s="97" t="str">
        <x:v>ステップ2：損切り・利確ルールの効き目検証（仕様v1）</x:v>
      </x:c>
      <x:c r="P1" s="97" t="str">
        <x:v>ステップ2：損切り・利確ルールの効き目検証（仕様v1）</x:v>
      </x:c>
    </x:row>
    <x:row r="2" ht="17.149999618530273" hidden="0">
      <x:c r="A2" s="30" t="str">
        <x:v>前提日 2026-06-21／基準日 2026-06-12終値／前進・過去検証は混合しない／n=2のため現在は動作確認のみ</x:v>
      </x:c>
      <x:c r="B2" s="30"/>
      <x:c r="C2" s="30"/>
      <x:c r="D2" s="30"/>
      <x:c r="E2" s="30"/>
      <x:c r="F2" s="30"/>
      <x:c r="G2" s="30"/>
      <x:c r="H2" s="30"/>
      <x:c r="I2" s="30"/>
      <x:c r="J2" s="30"/>
      <x:c r="K2" s="30"/>
      <x:c r="L2" s="30"/>
      <x:c r="M2" s="30"/>
      <x:c r="N2" s="30"/>
      <x:c r="O2" s="30"/>
      <x:c r="P2" s="30"/>
    </x:row>
    <x:row r="4" ht="15" hidden="0">
      <x:c r="A4" s="100" t="str">
        <x:v>■ 固定前提（v1）</x:v>
      </x:c>
      <x:c r="B4" s="101" t="str">
        <x:v>■ 固定前提（v1）</x:v>
      </x:c>
      <x:c r="C4" s="101" t="str">
        <x:v>■ 固定前提（v1）</x:v>
      </x:c>
      <x:c r="D4" s="102" t="str">
        <x:v>■ 固定前提（v1）</x:v>
      </x:c>
      <x:c r="F4" s="100" t="str">
        <x:v>■ 比較群（出口ルール単体）</x:v>
      </x:c>
      <x:c r="G4" s="101" t="str">
        <x:v>■ 比較群（出口ルール単体）</x:v>
      </x:c>
      <x:c r="H4" s="101" t="str">
        <x:v>■ 比較群（出口ルール単体）</x:v>
      </x:c>
      <x:c r="I4" s="102" t="str">
        <x:v>■ 比較群（出口ルール単体）</x:v>
      </x:c>
      <x:c r="K4" s="100" t="str">
        <x:v>■ データ出典（2026-06-21取得）</x:v>
      </x:c>
      <x:c r="L4" s="101" t="str">
        <x:v>■ データ出典（2026-06-21取得）</x:v>
      </x:c>
      <x:c r="M4" s="101" t="str">
        <x:v>■ データ出典（2026-06-21取得）</x:v>
      </x:c>
      <x:c r="N4" s="101" t="str">
        <x:v>■ データ出典（2026-06-21取得）</x:v>
      </x:c>
      <x:c r="O4" s="101" t="str">
        <x:v>■ データ出典（2026-06-21取得）</x:v>
      </x:c>
      <x:c r="P4" s="102" t="str">
        <x:v>■ データ出典（2026-06-21取得）</x:v>
      </x:c>
    </x:row>
    <x:row r="5" ht="15" hidden="0">
      <x:c r="A5" s="107" t="str">
        <x:v>項目</x:v>
      </x:c>
      <x:c r="B5" s="107" t="str">
        <x:v>値</x:v>
      </x:c>
      <x:c r="C5" s="107" t="str">
        <x:v>単位/状態</x:v>
      </x:c>
      <x:c r="D5" s="107" t="str">
        <x:v>備考</x:v>
      </x:c>
      <x:c r="F5" s="107" t="str">
        <x:v>群</x:v>
      </x:c>
      <x:c r="G5" s="107" t="str">
        <x:v>出口</x:v>
      </x:c>
      <x:c r="H5" s="107" t="str">
        <x:v>再投資</x:v>
      </x:c>
      <x:c r="I5" s="107" t="str">
        <x:v>評価時点</x:v>
      </x:c>
      <x:c r="K5" s="107" t="str">
        <x:v>対象</x:v>
      </x:c>
      <x:c r="L5" s="107" t="str">
        <x:v>基準日値</x:v>
      </x:c>
      <x:c r="M5" s="107" t="str">
        <x:v>評価日値</x:v>
      </x:c>
      <x:c r="N5" s="107" t="str">
        <x:v>基準日</x:v>
      </x:c>
      <x:c r="O5" s="107" t="str">
        <x:v>評価日</x:v>
      </x:c>
      <x:c r="P5" s="107" t="str">
        <x:v>出典URL</x:v>
      </x:c>
    </x:row>
    <x:row r="6" ht="17.149999618530273" hidden="0">
      <x:c r="A6" s="42" t="str">
        <x:v>基準日</x:v>
      </x:c>
      <x:c r="B6" s="43" t="n">
        <x:v>46185</x:v>
      </x:c>
      <x:c r="C6" s="42" t="str">
        <x:v>終値</x:v>
      </x:c>
      <x:c r="D6" s="42" t="str">
        <x:v>金曜日・同一時点で建値とベンチを固定</x:v>
      </x:c>
      <x:c r="F6" s="42" t="str">
        <x:v>A</x:v>
      </x:c>
      <x:c r="G6" s="42" t="str">
        <x:v>終値条件確認後、翌営業日始値で全決済</x:v>
      </x:c>
      <x:c r="H6" s="42" t="str">
        <x:v>なし</x:v>
      </x:c>
      <x:c r="I6" s="42" t="str">
        <x:v>同一固定期末</x:v>
      </x:c>
      <x:c r="K6" s="42" t="str">
        <x:v>8306 三菱UFJ</x:v>
      </x:c>
      <x:c r="L6" s="46" t="n">
        <x:v>3162</x:v>
      </x:c>
      <x:c r="M6" s="46" t="n">
        <x:v>3278</x:v>
      </x:c>
      <x:c r="N6" s="43" t="n">
        <x:v>46185</x:v>
      </x:c>
      <x:c r="O6" s="43" t="n">
        <x:v>46192</x:v>
      </x:c>
      <x:c r="P6" s="42" t="str">
        <x:v>https://finance.yahoo.co.jp/quote/8306.T/history</x:v>
      </x:c>
    </x:row>
    <x:row r="7" ht="17.149999618530273" hidden="0">
      <x:c r="A7" s="42" t="str">
        <x:v>評価日</x:v>
      </x:c>
      <x:c r="B7" s="43" t="n">
        <x:v>46192</x:v>
      </x:c>
      <x:c r="C7" s="42" t="str">
        <x:v>終値</x:v>
      </x:c>
      <x:c r="D7" s="42" t="str">
        <x:v>前進検証の現時点</x:v>
      </x:c>
      <x:c r="F7" s="42" t="str">
        <x:v>B</x:v>
      </x:c>
      <x:c r="G7" s="42" t="str">
        <x:v>buy&amp;hold（評価日終値で決済換算）</x:v>
      </x:c>
      <x:c r="H7" s="42" t="str">
        <x:v>なし</x:v>
      </x:c>
      <x:c r="I7" s="42" t="str">
        <x:v>同一固定期末</x:v>
      </x:c>
      <x:c r="K7" s="42" t="str">
        <x:v>9433 KDDI</x:v>
      </x:c>
      <x:c r="L7" s="46" t="n">
        <x:v>2769</x:v>
      </x:c>
      <x:c r="M7" s="46" t="n">
        <x:v>2721.5</x:v>
      </x:c>
      <x:c r="N7" s="43" t="n">
        <x:v>46185</x:v>
      </x:c>
      <x:c r="O7" s="43" t="n">
        <x:v>46192</x:v>
      </x:c>
      <x:c r="P7" s="42" t="str">
        <x:v>https://finance.yahoo.co.jp/quote/9433.T/history</x:v>
      </x:c>
    </x:row>
    <x:row r="8" ht="17.149999618530273" hidden="0">
      <x:c r="A8" s="42" t="str">
        <x:v>片道コスト率</x:v>
      </x:c>
      <x:c r="B8" s="44" t="n">
        <x:v>0.0005</x:v>
      </x:c>
      <x:c r="C8" s="42" t="str">
        <x:v>0.05%</x:v>
      </x:c>
      <x:c r="D8" s="42" t="str">
        <x:v>往復0.1%；保有中は評価日決済コストも見込む</x:v>
      </x:c>
      <x:c r="F8" s="42" t="str">
        <x:v>C</x:v>
      </x:c>
      <x:c r="G8" s="42" t="str">
        <x:v>第1利確で半分、残りは評価日まで</x:v>
      </x:c>
      <x:c r="H8" s="42" t="str">
        <x:v>なし</x:v>
      </x:c>
      <x:c r="I8" s="42" t="str">
        <x:v>同一固定期末</x:v>
      </x:c>
      <x:c r="K8" s="42" t="str">
        <x:v>日経平均</x:v>
      </x:c>
      <x:c r="L8" s="46" t="n">
        <x:v>66020.04</x:v>
      </x:c>
      <x:c r="M8" s="46" t="n">
        <x:v>71250.06</x:v>
      </x:c>
      <x:c r="N8" s="43" t="n">
        <x:v>46185</x:v>
      </x:c>
      <x:c r="O8" s="43" t="n">
        <x:v>46192</x:v>
      </x:c>
      <x:c r="P8" s="42" t="str">
        <x:v>https://indexes.nikkei.co.jp/nkave/archives/summary/</x:v>
      </x:c>
    </x:row>
    <x:row r="9" ht="17.149999618530273" hidden="0">
      <x:c r="A9" s="42" t="str">
        <x:v>DD警告ライン</x:v>
      </x:c>
      <x:c r="B9" s="44" t="n">
        <x:v>-0.08</x:v>
      </x:c>
      <x:c r="C9" s="42" t="str">
        <x:v>対投下資金</x:v>
      </x:c>
      <x:c r="D9" s="42" t="str">
        <x:v>運用を点検</x:v>
      </x:c>
      <x:c r="F9" s="42" t="str">
        <x:v>N</x:v>
      </x:c>
      <x:c r="G9" s="42" t="str">
        <x:v>日経平均buy&amp;hold</x:v>
      </x:c>
      <x:c r="H9" s="42" t="str">
        <x:v>-</x:v>
      </x:c>
      <x:c r="I9" s="42" t="str">
        <x:v>2026-06-12終値起点</x:v>
      </x:c>
      <x:c r="K9" s="42" t="str">
        <x:v>検証仕様</x:v>
      </x:c>
      <x:c r="L9" s="42" t="str">
        <x:v>v1</x:v>
      </x:c>
      <x:c r="M9" s="42" t="str">
        <x:v>固定</x:v>
      </x:c>
      <x:c r="N9" s="43" t="n">
        <x:v>46194</x:v>
      </x:c>
      <x:c r="O9" s="43"/>
      <x:c r="P9" s="42" t="str">
        <x:v>VERIFICATION_SPEC_v1_20260621.md</x:v>
      </x:c>
    </x:row>
    <x:row r="10">
      <x:c r="A10" s="42" t="str">
        <x:v>DD失格ライン</x:v>
      </x:c>
      <x:c r="B10" s="44" t="n">
        <x:v>-0.12</x:v>
      </x:c>
      <x:c r="C10" s="42" t="str">
        <x:v>対投下資金</x:v>
      </x:c>
      <x:c r="D10" s="42" t="str">
        <x:v>不採用候補</x:v>
      </x:c>
    </x:row>
    <x:row r="11" ht="15" hidden="0">
      <x:c r="A11" s="42" t="str">
        <x:v>MAE要注意</x:v>
      </x:c>
      <x:c r="B11" s="45" t="n">
        <x:v>-15000</x:v>
      </x:c>
      <x:c r="C11" s="42" t="str">
        <x:v>円/取引</x:v>
      </x:c>
      <x:c r="D11" s="42" t="str">
        <x:v>想定損失1万円の1.5倍</x:v>
      </x:c>
    </x:row>
    <x:row r="12" ht="17.149999618530273" hidden="0">
      <x:c r="A12" s="42" t="str">
        <x:v>取引単位</x:v>
      </x:c>
      <x:c r="B12" s="42" t="str">
        <x:v>1建玉=1取引</x:v>
      </x:c>
      <x:c r="C12" s="42" t="str">
        <x:v>確定</x:v>
      </x:c>
      <x:c r="D12" s="42" t="str">
        <x:v>部分利確は合算損益で判定</x:v>
      </x:c>
      <x:c r="E12"/>
      <x:c r="F12"/>
      <x:c r="G12"/>
    </x:row>
    <x:row r="13" ht="17.149999618530273" hidden="0">
      <x:c r="A13"/>
      <x:c r="B13"/>
      <x:c r="C13"/>
      <x:c r="D13"/>
      <x:c r="E13"/>
      <x:c r="F13"/>
      <x:c r="G13">
        <x:f aca="0"/>
      </x:c>
    </x:row>
    <x:row r="14" ht="15" hidden="0">
      <x:c r="A14" s="100" t="str">
        <x:v>■ 前進検証・群別集計（n&lt;10は動作確認、加重スコアは算出保留）</x:v>
      </x:c>
      <x:c r="B14" s="101" t="str">
        <x:v>■ 前進検証・群別集計（n&lt;10は動作確認、加重スコアは算出保留）</x:v>
      </x:c>
      <x:c r="C14" s="101" t="str">
        <x:v>■ 前進検証・群別集計（n&lt;10は動作確認、加重スコアは算出保留）</x:v>
      </x:c>
      <x:c r="D14" s="101" t="str">
        <x:v>■ 前進検証・群別集計（n&lt;10は動作確認、加重スコアは算出保留）</x:v>
      </x:c>
      <x:c r="E14" s="101" t="str">
        <x:v>■ 前進検証・群別集計（n&lt;10は動作確認、加重スコアは算出保留）</x:v>
      </x:c>
      <x:c r="F14" s="101" t="str">
        <x:v>■ 前進検証・群別集計（n&lt;10は動作確認、加重スコアは算出保留）</x:v>
      </x:c>
      <x:c r="G14" s="101" t="str">
        <x:f aca="0"/>
        <x:v>■ 前進検証・群別集計（n&lt;10は動作確認、加重スコアは算出保留）</x:v>
      </x:c>
      <x:c r="H14" s="101" t="str">
        <x:v>■ 前進検証・群別集計（n&lt;10は動作確認、加重スコアは算出保留）</x:v>
      </x:c>
      <x:c r="I14" s="101" t="str">
        <x:v>■ 前進検証・群別集計（n&lt;10は動作確認、加重スコアは算出保留）</x:v>
      </x:c>
      <x:c r="J14" s="101" t="str">
        <x:v>■ 前進検証・群別集計（n&lt;10は動作確認、加重スコアは算出保留）</x:v>
      </x:c>
      <x:c r="K14" s="101" t="str">
        <x:v>■ 前進検証・群別集計（n&lt;10は動作確認、加重スコアは算出保留）</x:v>
      </x:c>
      <x:c r="L14" s="101" t="str">
        <x:v>■ 前進検証・群別集計（n&lt;10は動作確認、加重スコアは算出保留）</x:v>
      </x:c>
      <x:c r="M14" s="101" t="str">
        <x:v>■ 前進検証・群別集計（n&lt;10は動作確認、加重スコアは算出保留）</x:v>
      </x:c>
      <x:c r="N14" s="101" t="str">
        <x:v>■ 前進検証・群別集計（n&lt;10は動作確認、加重スコアは算出保留）</x:v>
      </x:c>
      <x:c r="O14" s="101" t="str">
        <x:v>■ 前進検証・群別集計（n&lt;10は動作確認、加重スコアは算出保留）</x:v>
      </x:c>
      <x:c r="P14" s="102" t="str">
        <x:v>■ 前進検証・群別集計（n&lt;10は動作確認、加重スコアは算出保留）</x:v>
      </x:c>
    </x:row>
    <x:row r="15">
      <x:c r="A15" s="107" t="str">
        <x:v>群</x:v>
      </x:c>
      <x:c r="B15" s="107" t="str">
        <x:v>総損益(コスト後)</x:v>
      </x:c>
      <x:c r="C15" s="107" t="str">
        <x:v>対投下リターン</x:v>
      </x:c>
      <x:c r="D15" s="107" t="str">
        <x:v>最大DD</x:v>
      </x:c>
      <x:c r="E15" s="107" t="str">
        <x:v>DD判定</x:v>
      </x:c>
      <x:c r="F15" s="107" t="str">
        <x:v>日経リターン</x:v>
      </x:c>
      <x:c r="G15" s="107" t="str">
        <x:v>超過リターン</x:v>
      </x:c>
      <x:c r="H15" s="107" t="str">
        <x:v>期待値/取引</x:v>
      </x:c>
      <x:c r="I15" s="107" t="str">
        <x:v>実現損益比</x:v>
      </x:c>
      <x:c r="J15" s="107" t="str">
        <x:v>勝率(補助)</x:v>
      </x:c>
      <x:c r="K15" s="107" t="str">
        <x:v>n</x:v>
      </x:c>
      <x:c r="L15" s="107" t="str">
        <x:v>期待値スコア40%</x:v>
      </x:c>
      <x:c r="M15" s="107" t="str">
        <x:v>DDスコア25%</x:v>
      </x:c>
      <x:c r="N15" s="107" t="str">
        <x:v>超過スコア20%</x:v>
      </x:c>
      <x:c r="O15" s="107" t="str">
        <x:v>損益比スコア15%</x:v>
      </x:c>
      <x:c r="P15" s="107" t="str">
        <x:v>加重スコア</x:v>
      </x:c>
    </x:row>
    <x:row r="16" ht="15" hidden="0">
      <x:c r="A16" s="42" t="str">
        <x:v>A</x:v>
      </x:c>
      <x:c r="B16" s="45" t="n">
        <x:f>'前進検証_v1'!G42</x:f>
        <x:v>15448.875000000002</x:v>
      </x:c>
      <x:c r="C16" s="49" t="n">
        <x:f>'前進検証_v1'!H42</x:f>
        <x:v>0.026047673242286296</x:v>
      </x:c>
      <x:c r="D16" s="49" t="n">
        <x:f>'前進検証_v1'!I42</x:f>
        <x:v>-0.0029377040468809845</x:v>
      </x:c>
      <x:c r="E16" s="49" t="str">
        <x:f>'前進検証_v1'!J42</x:f>
        <x:v>OK</x:v>
      </x:c>
      <x:c r="F16" s="49" t="n">
        <x:f>'前進検証_v1'!K42</x:f>
        <x:v>0.07921867360274248</x:v>
      </x:c>
      <x:c r="G16" s="49" t="n">
        <x:f>'前進検証_v1'!L42</x:f>
        <x:v>-0.05317100036045619</x:v>
      </x:c>
      <x:c r="H16" s="45" t="n">
        <x:f>'前進検証_v1'!M42</x:f>
        <x:v>7724.437500000001</x:v>
      </x:c>
      <x:c r="I16" s="50" t="n">
        <x:f>'前進検証_v1'!N42</x:f>
        <x:v>4.074693627755858</x:v>
      </x:c>
      <x:c r="J16" s="69" t="n">
        <x:f>'前進検証_v1'!O42</x:f>
        <x:v>0.5</x:v>
      </x:c>
      <x:c r="K16" s="42" t="n">
        <x:f>'前進検証_v1'!P42</x:f>
        <x:v>2</x:v>
      </x:c>
      <x:c r="L16" s="51" t="str">
        <x:f>IF(K16&lt;10,"",MAX(0,MIN(100,50+H16/10000*50)))</x:f>
      </x:c>
      <x:c r="M16" s="51" t="str">
        <x:f>IF(K16&lt;10,"",MAX(0,MIN(100,(D16-$B$10)/ABS($B$10)*100)))</x:f>
      </x:c>
      <x:c r="N16" s="51" t="str">
        <x:f>IF(K16&lt;10,"",MAX(0,MIN(100,50+G16*500)))</x:f>
      </x:c>
      <x:c r="O16" s="51" t="str">
        <x:f>IF(K16&lt;10,"",MAX(0,MIN(100,I16/3*100)))</x:f>
      </x:c>
      <x:c r="P16" s="51" t="str">
        <x:f>IF(COUNT(L16:O16)&lt;4,"",SUMPRODUCT(L16:O16,$L$20:$O$20))</x:f>
      </x:c>
    </x:row>
    <x:row r="17" ht="17.149999618530273" hidden="0">
      <x:c r="A17" s="42" t="str">
        <x:v>B</x:v>
      </x:c>
      <x:c r="B17" s="45" t="n">
        <x:f>'前進検証_v1'!G43</x:f>
        <x:v>6253.475</x:v>
      </x:c>
      <x:c r="C17" s="49" t="n">
        <x:f>'前進検証_v1'!H43</x:f>
        <x:v>0.010543711009947733</x:v>
      </x:c>
      <x:c r="D17" s="49" t="n">
        <x:f>'前進検証_v1'!I43</x:f>
        <x:v>-0.014786743086071641</x:v>
      </x:c>
      <x:c r="E17" s="49" t="str">
        <x:f>'前進検証_v1'!J43</x:f>
        <x:v>OK</x:v>
      </x:c>
      <x:c r="F17" s="49" t="n">
        <x:f>'前進検証_v1'!K43</x:f>
        <x:v>0.07921867360274248</x:v>
      </x:c>
      <x:c r="G17" s="49" t="n">
        <x:f>'前進検証_v1'!L43</x:f>
        <x:v>-0.06867496259279475</x:v>
      </x:c>
      <x:c r="H17" s="45" t="n">
        <x:f>'前進検証_v1'!M43</x:f>
        <x:v>3126.7375</x:v>
      </x:c>
      <x:c r="I17" s="50" t="n">
        <x:f>'前進検証_v1'!N43</x:f>
        <x:v>2.2445902846537735</x:v>
      </x:c>
      <x:c r="J17" s="69" t="n">
        <x:f>'前進検証_v1'!O43</x:f>
        <x:v>0.5</x:v>
      </x:c>
      <x:c r="K17" s="42" t="n">
        <x:f>'前進検証_v1'!P43</x:f>
        <x:v>2</x:v>
      </x:c>
      <x:c r="L17" s="51" t="str">
        <x:f>IF(K17&lt;10,"",MAX(0,MIN(100,50+H17/10000*50)))</x:f>
      </x:c>
      <x:c r="M17" s="51" t="str">
        <x:f>IF(K17&lt;10,"",MAX(0,MIN(100,(D17-$B$10)/ABS($B$10)*100)))</x:f>
      </x:c>
      <x:c r="N17" s="51" t="str">
        <x:f>IF(K17&lt;10,"",MAX(0,MIN(100,50+G17*500)))</x:f>
      </x:c>
      <x:c r="O17" s="51" t="str">
        <x:f>IF(K17&lt;10,"",MAX(0,MIN(100,I17/3*100)))</x:f>
      </x:c>
      <x:c r="P17" s="51" t="str">
        <x:f>IF(COUNT(L17:O17)&lt;4,"",SUMPRODUCT(L17:O17,$L$20:$O$20))</x:f>
      </x:c>
    </x:row>
    <x:row r="18" ht="17.149999618530273" hidden="0">
      <x:c r="A18" s="42" t="str">
        <x:f aca="0"/>
        <x:v>C</x:v>
      </x:c>
      <x:c r="B18" s="45" t="n">
        <x:f aca="0">'前進検証_v1'!G44</x:f>
        <x:v>10851.175000000001</x:v>
      </x:c>
      <x:c r="C18" s="49" t="n">
        <x:f aca="0">'前進検証_v1'!H44</x:f>
        <x:v>0.018295692126117015</x:v>
      </x:c>
      <x:c r="D18" s="49" t="n">
        <x:f aca="0">'前進検証_v1'!I44</x:f>
        <x:v>-0.0072290743976348715</x:v>
      </x:c>
      <x:c r="E18" s="49" t="str">
        <x:f aca="0">'前進検証_v1'!J44</x:f>
        <x:v>OK</x:v>
      </x:c>
      <x:c r="F18" s="49" t="n">
        <x:f>'前進検証_v1'!K44</x:f>
        <x:v>0.07921867360274248</x:v>
      </x:c>
      <x:c r="G18" s="49" t="n">
        <x:f>'前進検証_v1'!L44</x:f>
        <x:v>-0.06092298147662547</x:v>
      </x:c>
      <x:c r="H18" s="45" t="n">
        <x:f>'前進検証_v1'!M44</x:f>
        <x:v>5425.587500000001</x:v>
      </x:c>
      <x:c r="I18" s="50" t="n">
        <x:f>'前進検証_v1'!N44</x:f>
        <x:v>3.159641956204816</x:v>
      </x:c>
      <x:c r="J18" s="69" t="n">
        <x:f>'前進検証_v1'!O44</x:f>
        <x:v>0.5</x:v>
      </x:c>
      <x:c r="K18" s="42" t="n">
        <x:f>'前進検証_v1'!P44</x:f>
        <x:v>2</x:v>
      </x:c>
      <x:c r="L18" s="51" t="str">
        <x:f>IF(K18&lt;10,"",MAX(0,MIN(100,50+H18/10000*50)))</x:f>
      </x:c>
      <x:c r="M18" s="51" t="str">
        <x:f>IF(K18&lt;10,"",MAX(0,MIN(100,(D18-$B$10)/ABS($B$10)*100)))</x:f>
      </x:c>
      <x:c r="N18" s="51" t="str">
        <x:f>IF(K18&lt;10,"",MAX(0,MIN(100,50+G18*500)))</x:f>
      </x:c>
      <x:c r="O18" s="51" t="str">
        <x:f>IF(K18&lt;10,"",MAX(0,MIN(100,I18/3*100)))</x:f>
      </x:c>
      <x:c r="P18" s="51" t="str">
        <x:f>IF(COUNT(L18:O18)&lt;4,"",SUMPRODUCT(L18:O18,$L$20:$O$20))</x:f>
      </x:c>
    </x:row>
    <x:row r="19" ht="15" hidden="0">
      <x:c r="A19">
        <x:f aca="0"/>
      </x:c>
      <x:c r="B19">
        <x:f aca="0"/>
      </x:c>
      <x:c r="C19">
        <x:f aca="0"/>
      </x:c>
      <x:c r="D19">
        <x:f aca="0"/>
      </x:c>
      <x:c r="E19">
        <x:f aca="0"/>
      </x:c>
    </x:row>
    <x:row r="20" ht="15" hidden="0">
      <x:c r="B20"/>
      <x:c r="C20">
        <x:f aca="0"/>
      </x:c>
      <x:c r="D20">
        <x:f aca="0"/>
      </x:c>
      <x:c r="E20">
        <x:f aca="0"/>
      </x:c>
      <x:c r="K20" s="108" t="str">
        <x:v>重み</x:v>
      </x:c>
      <x:c r="L20" s="109" t="n">
        <x:v>0.4</x:v>
      </x:c>
      <x:c r="M20" s="109" t="n">
        <x:v>0.25</x:v>
      </x:c>
      <x:c r="N20" s="109" t="n">
        <x:v>0.2</x:v>
      </x:c>
      <x:c r="O20" s="109" t="n">
        <x:v>0.15</x:v>
      </x:c>
    </x:row>
    <x:row r="21" ht="15" hidden="0">
      <x:c r="B21"/>
      <x:c r="C21">
        <x:f aca="0"/>
      </x:c>
      <x:c r="D21">
        <x:f aca="0"/>
      </x:c>
      <x:c r="E21">
        <x:f aca="0"/>
      </x:c>
    </x:row>
    <x:row r="22" ht="17.149999618530273" hidden="0">
      <x:c r="A22" s="100" t="str">
        <x:v>■ 判定注意</x:v>
      </x:c>
      <x:c r="B22" s="101" t="str">
        <x:v>■ 判定注意</x:v>
      </x:c>
      <x:c r="C22" s="101" t="str">
        <x:f aca="0"/>
        <x:v>■ 判定注意</x:v>
      </x:c>
      <x:c r="D22" s="101" t="str">
        <x:f aca="0"/>
        <x:v>■ 判定注意</x:v>
      </x:c>
      <x:c r="E22" s="101" t="str">
        <x:f aca="0"/>
        <x:v>■ 判定注意</x:v>
      </x:c>
      <x:c r="F22" s="101" t="str">
        <x:v>■ 判定注意</x:v>
      </x:c>
      <x:c r="G22" s="101" t="str">
        <x:v>■ 判定注意</x:v>
      </x:c>
      <x:c r="H22" s="101" t="str">
        <x:v>■ 判定注意</x:v>
      </x:c>
      <x:c r="I22" s="101" t="str">
        <x:v>■ 判定注意</x:v>
      </x:c>
      <x:c r="J22" s="101" t="str">
        <x:v>■ 判定注意</x:v>
      </x:c>
      <x:c r="K22" s="101" t="str">
        <x:v>■ 判定注意</x:v>
      </x:c>
      <x:c r="L22" s="101" t="str">
        <x:v>■ 判定注意</x:v>
      </x:c>
      <x:c r="M22" s="101" t="str">
        <x:v>■ 判定注意</x:v>
      </x:c>
      <x:c r="N22" s="101" t="str">
        <x:v>■ 判定注意</x:v>
      </x:c>
      <x:c r="O22" s="101" t="str">
        <x:v>■ 判定注意</x:v>
      </x:c>
      <x:c r="P22" s="102" t="str">
        <x:v>■ 判定注意</x:v>
      </x:c>
    </x:row>
    <x:row r="23">
      <x:c r="A23" s="53" t="str">
        <x:v>・10件=動作確認、30件以上=暫定評価、50〜100件=統計評価の目安。前進と過去は混合集計しない。</x:v>
      </x:c>
      <x:c r="B23" s="54"/>
      <x:c r="C23" s="54"/>
      <x:c r="D23" s="54"/>
      <x:c r="E23" s="54"/>
      <x:c r="F23" s="54"/>
      <x:c r="G23" s="54"/>
      <x:c r="H23" s="54"/>
      <x:c r="I23" s="54"/>
      <x:c r="J23" s="54"/>
      <x:c r="K23" s="54"/>
      <x:c r="L23" s="54"/>
      <x:c r="M23" s="54"/>
      <x:c r="N23" s="54"/>
      <x:c r="O23" s="54"/>
      <x:c r="P23" s="55"/>
    </x:row>
    <x:row r="24" ht="17.149999618530273" hidden="0">
      <x:c r="A24" s="56" t="str">
        <x:v>・加重スコアはn≥10のときのみ参考表示。期待値は1万円=1R、超過は±10%、損益比は3.0を100点とする線形正規化。</x:v>
      </x:c>
      <x:c r="B24" s="86"/>
      <x:c r="C24" s="86"/>
      <x:c r="D24" s="86"/>
      <x:c r="E24" s="86"/>
      <x:c r="F24" s="86"/>
      <x:c r="G24" s="86"/>
      <x:c r="H24" s="86"/>
      <x:c r="I24" s="86"/>
      <x:c r="J24" s="86"/>
      <x:c r="K24" s="86"/>
      <x:c r="L24" s="86"/>
      <x:c r="M24" s="86"/>
      <x:c r="N24" s="86"/>
      <x:c r="O24" s="86"/>
      <x:c r="P24" s="57"/>
    </x:row>
    <x:row r="25" ht="15" hidden="0">
      <x:c r="A25" s="56" t="str">
        <x:v>・DDは日次終値の資産曲線のピークからの下落率。MAEは個別取引の最大逆行額で、最大含み損/DDと区別。</x:v>
      </x:c>
      <x:c r="B25" s="86"/>
      <x:c r="C25" s="86"/>
      <x:c r="D25" s="86"/>
      <x:c r="E25" s="86"/>
      <x:c r="F25" s="86"/>
      <x:c r="G25" s="86"/>
      <x:c r="H25" s="86"/>
      <x:c r="I25" s="86"/>
      <x:c r="J25" s="86"/>
      <x:c r="K25" s="86"/>
      <x:c r="L25" s="86"/>
      <x:c r="M25" s="86"/>
      <x:c r="N25" s="86"/>
      <x:c r="O25" s="86"/>
      <x:c r="P25" s="57"/>
    </x:row>
    <x:row r="26" ht="15" hidden="0">
      <x:c r="A26" s="56" t="str">
        <x:v>・同日に利確と損切りが両方到達し、日足で順序不明な場合は保守的に損切り優先。</x:v>
      </x:c>
      <x:c r="B26" s="86"/>
      <x:c r="C26" s="86"/>
      <x:c r="D26" s="86"/>
      <x:c r="E26" s="86"/>
      <x:c r="F26" s="86"/>
      <x:c r="G26" s="86"/>
      <x:c r="H26" s="86"/>
      <x:c r="I26" s="86"/>
      <x:c r="J26" s="86"/>
      <x:c r="K26" s="86"/>
      <x:c r="L26" s="86"/>
      <x:c r="M26" s="86"/>
      <x:c r="N26" s="86"/>
      <x:c r="O26" s="86"/>
      <x:c r="P26" s="57"/>
    </x:row>
    <x:row r="27" ht="17.149999618530273" hidden="0">
      <x:c r="A27" s="58" t="str">
        <x:v>・売買推奨ではなく模擬検証。最終判断と発注はユーザーが行う。</x:v>
      </x:c>
      <x:c r="B27" s="59"/>
      <x:c r="C27" s="59"/>
      <x:c r="D27" s="59"/>
      <x:c r="E27" s="59"/>
      <x:c r="F27" s="59"/>
      <x:c r="G27" s="59"/>
      <x:c r="H27" s="59"/>
      <x:c r="I27" s="59"/>
      <x:c r="J27" s="59"/>
      <x:c r="K27" s="59"/>
      <x:c r="L27" s="59"/>
      <x:c r="M27" s="59"/>
      <x:c r="N27" s="59"/>
      <x:c r="O27" s="59"/>
      <x:c r="P27" s="60"/>
    </x:row>
    <x:row r="28" ht="15" hidden="0">
      <x:c r="A28"/>
      <x:c r="B28">
        <x:f aca="0"/>
      </x:c>
      <x:c r="C28"/>
    </x:row>
    <x:row r="30" ht="15" hidden="0">
      <x:c r="A30"/>
    </x:row>
    <x:row r="31" ht="17.149999618530273" hidden="0">
      <x:c r="A31"/>
      <x:c r="B31"/>
      <x:c r="C31"/>
    </x:row>
    <x:row r="32" ht="15" hidden="0">
      <x:c r="A32"/>
      <x:c r="B32">
        <x:f aca="0"/>
      </x:c>
      <x:c r="C32">
        <x:f aca="0"/>
      </x:c>
    </x:row>
    <x:row r="33" ht="15" hidden="0">
      <x:c r="A33"/>
      <x:c r="B33">
        <x:f aca="0"/>
      </x:c>
      <x:c r="C33">
        <x:f aca="0"/>
      </x:c>
    </x:row>
    <x:row r="34" ht="15" hidden="0">
      <x:c r="A34"/>
      <x:c r="B34">
        <x:f aca="0"/>
      </x:c>
      <x:c r="C34">
        <x:f aca="0"/>
      </x:c>
    </x:row>
    <x:row r="36" ht="15" hidden="0">
      <x:c r="A36"/>
    </x:row>
    <x:row r="37" ht="17.149999618530273" hidden="0">
      <x:c r="A37"/>
    </x:row>
    <x:row r="38" ht="17.149999618530273" hidden="0">
      <x:c r="A38"/>
    </x:row>
    <x:row r="39" ht="17.149999618530273" hidden="0">
      <x:c r="A39"/>
    </x:row>
    <x:row r="40" ht="17.149999618530273" hidden="0">
      <x:c r="A40"/>
    </x:row>
    <x:row r="42" ht="15" hidden="0">
      <x:c r="A42"/>
    </x:row>
    <x:row r="43" ht="15" hidden="0">
      <x:c r="A43"/>
      <x:c r="B43"/>
      <x:c r="C43"/>
    </x:row>
    <x:row r="44" ht="17.149999618530273" hidden="0">
      <x:c r="A44"/>
      <x:c r="B44"/>
      <x:c r="C44"/>
    </x:row>
    <x:row r="45" ht="17.149999618530273" hidden="0">
      <x:c r="A45"/>
      <x:c r="B45"/>
      <x:c r="C45"/>
    </x:row>
    <x:row r="46" ht="17.149999618530273" hidden="0">
      <x:c r="A46"/>
      <x:c r="B46"/>
      <x:c r="C46"/>
    </x:row>
  </x:sheetData>
  <x:mergeCells>
    <x:mergeCell ref="A1:P1"/>
    <x:mergeCell ref="A2:P2"/>
    <x:mergeCell ref="A4:D4"/>
    <x:mergeCell ref="F4:I4"/>
    <x:mergeCell ref="K4:P4"/>
    <x:mergeCell ref="A14:P14"/>
    <x:mergeCell ref="A22:P22"/>
    <x:mergeCell ref="A23:P23"/>
    <x:mergeCell ref="A24:P24"/>
    <x:mergeCell ref="A25:P25"/>
    <x:mergeCell ref="A26:P26"/>
    <x:mergeCell ref="A27:P27"/>
  </x:mergeCell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1" workbookViewId="0"/>
  </x:sheetViews>
  <x:sheetFormatPr defaultColWidth="8.6796875" defaultRowHeight="15"/>
  <x:cols>
    <x:col min="1" max="1" width="14" hidden="0" customWidth="1"/>
    <x:col min="2" max="2" width="10" hidden="0" customWidth="1"/>
    <x:col min="3" max="3" width="22" hidden="0" customWidth="1"/>
    <x:col min="4" max="4" width="10" hidden="0" customWidth="1"/>
    <x:col min="5" max="5" width="12" hidden="0" customWidth="1"/>
    <x:col min="6" max="6" width="13" hidden="0" customWidth="1"/>
    <x:col min="7" max="9" width="12" hidden="0" customWidth="1"/>
    <x:col min="10" max="12" width="13" hidden="0" customWidth="1"/>
    <x:col min="13" max="13" width="12" hidden="0" customWidth="1"/>
  </x:cols>
  <x:sheetData>
    <x:row r="1" ht="15" hidden="0">
      <x:c r="A1" s="1" t="s">
        <x:v>94</x:v>
      </x:c>
      <x:c r="B1" s="1"/>
      <x:c r="C1" s="1"/>
      <x:c r="D1" s="1"/>
      <x:c r="E1" s="1"/>
      <x:c r="F1" s="1"/>
      <x:c r="G1" s="1"/>
      <x:c r="H1" s="1"/>
      <x:c r="I1" s="1"/>
      <x:c r="J1" s="1"/>
      <x:c r="K1" s="2"/>
      <x:c r="L1" s="2"/>
      <x:c r="M1" s="2"/>
    </x:row>
    <x:row r="2" ht="15" hidden="0">
      <x:c r="A2" s="2"/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</x:row>
    <x:row r="3" ht="15" hidden="0">
      <x:c r="A3" s="8" t="s">
        <x:v>95</x:v>
      </x:c>
      <x:c r="B3" s="2" t="n">
        <x:v>1000000</x:v>
      </x:c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</x:row>
    <x:row r="4" ht="15" hidden="0">
      <x:c r="A4" s="8" t="s">
        <x:v>96</x:v>
      </x:c>
      <x:c r="B4" s="2" t="n">
        <x:v>583200</x:v>
      </x:c>
      <x:c r="C4" s="2"/>
      <x:c r="D4" s="2"/>
      <x:c r="E4" s="2"/>
      <x:c r="F4" s="2"/>
      <x:c r="G4" s="2"/>
      <x:c r="H4" s="2"/>
      <x:c r="I4" s="2"/>
      <x:c r="J4" s="2"/>
      <x:c r="K4" s="2"/>
      <x:c r="L4" s="2"/>
      <x:c r="M4" s="2"/>
    </x:row>
    <x:row r="5" ht="15" hidden="0">
      <x:c r="A5" s="8" t="s">
        <x:v>97</x:v>
      </x:c>
      <x:c r="B5" s="2" t="n">
        <x:v>416800</x:v>
      </x:c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</x:row>
    <x:row r="6" ht="15" hidden="0">
      <x:c r="A6" s="8" t="s">
        <x:v>98</x:v>
      </x:c>
      <x:c r="B6" s="2" t="n">
        <x:f aca="0">B4/B3</x:f>
        <x:v>0.5832</x:v>
      </x:c>
      <x:c r="C6" s="2"/>
      <x:c r="D6" s="2"/>
      <x:c r="E6" s="2"/>
      <x:c r="F6" s="2"/>
      <x:c r="G6" s="2"/>
      <x:c r="H6" s="2"/>
      <x:c r="I6" s="2"/>
      <x:c r="J6" s="2"/>
      <x:c r="K6" s="2"/>
      <x:c r="L6" s="2"/>
      <x:c r="M6" s="2"/>
    </x:row>
    <x:row r="7" ht="15" hidden="0">
      <x:c r="A7" s="8" t="s">
        <x:v>99</x:v>
      </x:c>
      <x:c r="B7" s="2" t="n">
        <x:f aca="0">B5/B3</x:f>
        <x:v>0.4168</x:v>
      </x:c>
      <x:c r="C7" s="2"/>
      <x:c r="D7" s="2"/>
      <x:c r="E7" s="2"/>
      <x:c r="F7" s="2"/>
      <x:c r="G7" s="2"/>
      <x:c r="H7" s="2"/>
      <x:c r="I7" s="2"/>
      <x:c r="J7" s="2"/>
      <x:c r="K7" s="2"/>
      <x:c r="L7" s="2"/>
      <x:c r="M7" s="2"/>
    </x:row>
    <x:row r="8" ht="15" hidden="0">
      <x:c r="A8" s="8" t="s">
        <x:v>100</x:v>
      </x:c>
      <x:c r="B8" s="8" t="s">
        <x:v>101</x:v>
      </x:c>
      <x:c r="C8" s="2"/>
      <x:c r="D8" s="2"/>
      <x:c r="E8" s="2"/>
      <x:c r="F8" s="2"/>
      <x:c r="G8" s="2"/>
      <x:c r="H8" s="2"/>
      <x:c r="I8" s="2"/>
      <x:c r="J8" s="2"/>
      <x:c r="K8" s="2"/>
      <x:c r="L8" s="2"/>
      <x:c r="M8" s="2"/>
    </x:row>
    <x:row r="9" ht="15" hidden="0">
      <x:c r="A9" s="2"/>
      <x:c r="B9" s="2"/>
      <x:c r="C9" s="2"/>
      <x:c r="D9" s="2"/>
      <x:c r="E9" s="2"/>
      <x:c r="F9" s="2"/>
      <x:c r="G9" s="2"/>
      <x:c r="H9" s="2"/>
      <x:c r="I9" s="2"/>
      <x:c r="J9" s="2"/>
      <x:c r="K9" s="2"/>
      <x:c r="L9" s="2"/>
      <x:c r="M9" s="2"/>
    </x:row>
    <x:row r="10" ht="15" hidden="0">
      <x:c r="A10" s="7" t="s">
        <x:v>102</x:v>
      </x:c>
      <x:c r="B10" s="7" t="s">
        <x:v>103</x:v>
      </x:c>
      <x:c r="C10" s="7" t="s">
        <x:v>104</x:v>
      </x:c>
      <x:c r="D10" s="7" t="s">
        <x:v>105</x:v>
      </x:c>
      <x:c r="E10" s="6" t="s">
        <x:v>106</x:v>
      </x:c>
      <x:c r="F10" s="7" t="s">
        <x:v>107</x:v>
      </x:c>
      <x:c r="G10" s="6" t="s">
        <x:v>108</x:v>
      </x:c>
      <x:c r="H10" s="7" t="s">
        <x:v>109</x:v>
      </x:c>
      <x:c r="I10" s="7" t="s">
        <x:v>110</x:v>
      </x:c>
      <x:c r="J10" s="7" t="s">
        <x:v>111</x:v>
      </x:c>
      <x:c r="K10" s="7" t="s">
        <x:v>112</x:v>
      </x:c>
      <x:c r="L10" s="7" t="s">
        <x:v>113</x:v>
      </x:c>
      <x:c r="M10" s="7" t="s">
        <x:v>12</x:v>
      </x:c>
    </x:row>
    <x:row r="11" ht="15" hidden="0">
      <x:c r="A11" s="3" t="s">
        <x:v>34</x:v>
      </x:c>
      <x:c r="B11" s="10" t="s">
        <x:v>114</x:v>
      </x:c>
      <x:c r="C11" s="3" t="s">
        <x:v>115</x:v>
      </x:c>
      <x:c r="D11" s="10" t="n">
        <x:v>100</x:v>
      </x:c>
      <x:c r="E11" s="10" t="n">
        <x:v>3162</x:v>
      </x:c>
      <x:c r="F11" s="10" t="n">
        <x:f aca="0">D11*E11</x:f>
        <x:v>316200</x:v>
      </x:c>
      <x:c r="G11" s="10" t="n">
        <x:v>3000</x:v>
      </x:c>
      <x:c r="H11" s="10" t="n">
        <x:v>3300</x:v>
      </x:c>
      <x:c r="I11" s="10" t="n">
        <x:v>3450</x:v>
      </x:c>
      <x:c r="J11" s="10" t="n">
        <x:f aca="0">(G11-E11)*D11</x:f>
        <x:v>-16200</x:v>
      </x:c>
      <x:c r="K11" s="10" t="n">
        <x:f aca="0">(H11-E11)*D11</x:f>
        <x:v>13800</x:v>
      </x:c>
      <x:c r="L11" s="10" t="n">
        <x:f aca="0">(I11-E11)*D11</x:f>
        <x:v>28800</x:v>
      </x:c>
      <x:c r="M11" s="3" t="s">
        <x:v>116</x:v>
      </x:c>
    </x:row>
    <x:row r="12" ht="15" hidden="0">
      <x:c r="A12" s="3" t="s">
        <x:v>34</x:v>
      </x:c>
      <x:c r="B12" s="10" t="s">
        <x:v>117</x:v>
      </x:c>
      <x:c r="C12" s="10" t="s">
        <x:v>118</x:v>
      </x:c>
      <x:c r="D12" s="10" t="n">
        <x:v>100</x:v>
      </x:c>
      <x:c r="E12" s="10" t="n">
        <x:v>2670</x:v>
      </x:c>
      <x:c r="F12" s="10" t="n">
        <x:f aca="0">D12*E12</x:f>
        <x:v>267000</x:v>
      </x:c>
      <x:c r="G12" s="10" t="n">
        <x:v>2580</x:v>
      </x:c>
      <x:c r="H12" s="10" t="n">
        <x:v>2800</x:v>
      </x:c>
      <x:c r="I12" s="10" t="n">
        <x:v>2900</x:v>
      </x:c>
      <x:c r="J12" s="10" t="n">
        <x:f aca="0">(G12-E12)*D12</x:f>
        <x:v>-9000</x:v>
      </x:c>
      <x:c r="K12" s="10" t="n">
        <x:f aca="0">(H12-E12)*D12</x:f>
        <x:v>13000</x:v>
      </x:c>
      <x:c r="L12" s="10" t="n">
        <x:f aca="0">(I12-E12)*D12</x:f>
        <x:v>23000</x:v>
      </x:c>
      <x:c r="M12" s="3" t="s">
        <x:v>116</x:v>
      </x:c>
    </x:row>
    <x:row r="13" ht="15" hidden="0">
      <x:c r="A13" s="3" t="s">
        <x:v>38</x:v>
      </x:c>
      <x:c r="B13" s="10" t="s">
        <x:v>119</x:v>
      </x:c>
      <x:c r="C13" s="3" t="s">
        <x:v>120</x:v>
      </x:c>
      <x:c r="D13" s="10" t="n">
        <x:v>2</x:v>
      </x:c>
      <x:c r="E13" s="10" t="n">
        <x:v>66000</x:v>
      </x:c>
      <x:c r="F13" s="10" t="n">
        <x:f aca="0">D13*E13</x:f>
        <x:v>132000</x:v>
      </x:c>
      <x:c r="G13" s="10" t="n">
        <x:v>62000</x:v>
      </x:c>
      <x:c r="H13" s="10" t="n">
        <x:v>74000</x:v>
      </x:c>
      <x:c r="I13" s="10" t="n">
        <x:v>78000</x:v>
      </x:c>
      <x:c r="J13" s="10" t="n">
        <x:f aca="0">(G13-E13)*D13</x:f>
        <x:v>-8000</x:v>
      </x:c>
      <x:c r="K13" s="10" t="n">
        <x:f aca="0">(H13-E13)*D13</x:f>
        <x:v>16000</x:v>
      </x:c>
      <x:c r="L13" s="10" t="n">
        <x:f aca="0">(I13-E13)*D13</x:f>
        <x:v>24000</x:v>
      </x:c>
      <x:c r="M13" s="3" t="s">
        <x:v>121</x:v>
      </x:c>
    </x:row>
    <x:row r="14" ht="15" hidden="0">
      <x:c r="A14" s="2"/>
      <x:c r="B14" s="2"/>
      <x:c r="C14" s="2"/>
      <x:c r="D14" s="2"/>
      <x:c r="E14" s="2"/>
      <x:c r="F14" s="2"/>
      <x:c r="G14" s="2"/>
      <x:c r="H14" s="2"/>
      <x:c r="I14" s="2"/>
      <x:c r="J14" s="2"/>
      <x:c r="K14" s="2"/>
      <x:c r="L14" s="2"/>
      <x:c r="M14" s="2"/>
    </x:row>
    <x:row r="15" ht="15" hidden="0">
      <x:c r="A15" s="2"/>
      <x:c r="B15" s="2"/>
      <x:c r="C15" s="2"/>
      <x:c r="D15" s="2"/>
      <x:c r="E15" s="2"/>
      <x:c r="F15" s="2"/>
      <x:c r="G15" s="2"/>
      <x:c r="H15" s="2"/>
      <x:c r="I15" s="2"/>
      <x:c r="J15" s="2"/>
      <x:c r="K15" s="2"/>
      <x:c r="L15" s="2"/>
      <x:c r="M15" s="2"/>
    </x:row>
    <x:row r="16" ht="15" hidden="0">
      <x:c r="A16" s="3" t="s">
        <x:v>122</x:v>
      </x:c>
      <x:c r="B16" s="10" t="n">
        <x:f aca="0">SUM(F11:F12)</x:f>
        <x:v>583200</x:v>
      </x:c>
      <x:c r="C16" s="10"/>
      <x:c r="D16" s="10" t="s">
        <x:v>123</x:v>
      </x:c>
      <x:c r="E16" s="10" t="n">
        <x:f aca="0">SUM(F11:F13)</x:f>
        <x:v>715200</x:v>
      </x:c>
      <x:c r="F16" s="2"/>
      <x:c r="G16" s="2"/>
      <x:c r="H16" s="2"/>
      <x:c r="I16" s="2"/>
      <x:c r="J16" s="2"/>
      <x:c r="K16" s="2"/>
      <x:c r="L16" s="2"/>
      <x:c r="M16" s="2"/>
    </x:row>
    <x:row r="17" ht="15" hidden="0">
      <x:c r="A17" s="3" t="s">
        <x:v>124</x:v>
      </x:c>
      <x:c r="B17" s="10" t="n">
        <x:f aca="0">B3-B16</x:f>
        <x:v>416800</x:v>
      </x:c>
      <x:c r="C17" s="10"/>
      <x:c r="D17" s="10" t="s">
        <x:v>125</x:v>
      </x:c>
      <x:c r="E17" s="10" t="n">
        <x:f aca="0">B3-E16</x:f>
        <x:v>284800</x:v>
      </x:c>
      <x:c r="F17" s="2"/>
      <x:c r="G17" s="2"/>
      <x:c r="H17" s="2"/>
      <x:c r="I17" s="2"/>
      <x:c r="J17" s="2"/>
      <x:c r="K17" s="2"/>
      <x:c r="L17" s="2"/>
      <x:c r="M17" s="2"/>
    </x:row>
    <x:row r="18" ht="15" hidden="0">
      <x:c r="A18" s="3" t="s">
        <x:v>126</x:v>
      </x:c>
      <x:c r="B18" s="10" t="n">
        <x:f aca="0">SUM(J11:J12)</x:f>
        <x:v>-25200</x:v>
      </x:c>
      <x:c r="C18" s="10"/>
      <x:c r="D18" s="10" t="s">
        <x:v>127</x:v>
      </x:c>
      <x:c r="E18" s="10" t="n">
        <x:f aca="0">SUM(J11:J13)</x:f>
        <x:v>-33200</x:v>
      </x:c>
      <x:c r="F18" s="2"/>
      <x:c r="G18" s="2"/>
      <x:c r="H18" s="2"/>
      <x:c r="I18" s="2"/>
      <x:c r="J18" s="2"/>
      <x:c r="K18" s="2"/>
      <x:c r="L18" s="2"/>
      <x:c r="M18" s="2"/>
    </x:row>
    <x:row r="19" ht="15" hidden="0">
      <x:c r="A19" s="3" t="s">
        <x:v>128</x:v>
      </x:c>
      <x:c r="B19" s="10" t="n">
        <x:f aca="0">SUM(K11:K12)</x:f>
        <x:v>26800</x:v>
      </x:c>
      <x:c r="C19" s="10"/>
      <x:c r="D19" s="10" t="s">
        <x:v>129</x:v>
      </x:c>
      <x:c r="E19" s="10" t="n">
        <x:f aca="0">SUM(K11:K13)</x:f>
        <x:v>42800</x:v>
      </x:c>
      <x:c r="F19" s="2"/>
      <x:c r="G19" s="2"/>
      <x:c r="H19" s="2"/>
      <x:c r="I19" s="2"/>
      <x:c r="J19" s="2"/>
      <x:c r="K19" s="2"/>
      <x:c r="L19" s="2"/>
      <x:c r="M19" s="2"/>
    </x:row>
    <x:row r="20" ht="15" hidden="0">
      <x:c r="A20" s="3" t="s">
        <x:v>130</x:v>
      </x:c>
      <x:c r="B20" s="10" t="n">
        <x:f aca="0">SUM(L11:L12)</x:f>
        <x:v>51800</x:v>
      </x:c>
      <x:c r="C20" s="10"/>
      <x:c r="D20" s="10" t="s">
        <x:v>131</x:v>
      </x:c>
      <x:c r="E20" s="10" t="n">
        <x:f aca="0">SUM(L11:L13)</x:f>
        <x:v>75800</x:v>
      </x:c>
      <x:c r="F20" s="2"/>
      <x:c r="G20" s="2"/>
      <x:c r="H20" s="2"/>
      <x:c r="I20" s="2"/>
      <x:c r="J20" s="2"/>
      <x:c r="K20" s="2"/>
      <x:c r="L20" s="2"/>
      <x:c r="M20" s="2"/>
    </x:row>
  </x:sheetData>
  <x:mergeCells>
    <x:mergeCell ref="A1:J1"/>
  </x:mergeCell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1" workbookViewId="0"/>
  </x:sheetViews>
  <x:sheetFormatPr defaultColWidth="8.6796875" defaultRowHeight="15"/>
  <x:cols>
    <x:col min="1" max="1" width="8" hidden="0" customWidth="1"/>
    <x:col min="2" max="2" width="10" hidden="0" customWidth="1"/>
    <x:col min="3" max="3" width="22" hidden="0" customWidth="1"/>
    <x:col min="4" max="4" width="14" hidden="0" customWidth="1"/>
    <x:col min="5" max="5" width="38" hidden="0" customWidth="1"/>
    <x:col min="6" max="6" width="34" hidden="0" customWidth="1"/>
    <x:col min="7" max="7" width="18" hidden="0" customWidth="1"/>
    <x:col min="8" max="8" width="34" hidden="0" customWidth="1"/>
    <x:col min="9" max="9" width="36" hidden="0" customWidth="1"/>
    <x:col min="10" max="10" width="26" hidden="0" customWidth="1"/>
    <x:col min="11" max="11" width="24" hidden="0" customWidth="1"/>
  </x:cols>
  <x:sheetData>
    <x:row r="1" ht="15" hidden="0">
      <x:c r="A1" s="12" t="s">
        <x:v>132</x:v>
      </x:c>
      <x:c r="B1" s="12"/>
      <x:c r="C1" s="12"/>
      <x:c r="D1" s="12"/>
      <x:c r="E1" s="12"/>
      <x:c r="F1" s="12"/>
      <x:c r="G1" s="12"/>
      <x:c r="H1" s="12"/>
      <x:c r="I1" s="12"/>
      <x:c r="J1" s="12"/>
      <x:c r="K1" s="12"/>
    </x:row>
    <x:row r="2" ht="15" hidden="0">
      <x:c r="A2" s="2"/>
      <x:c r="B2" s="2"/>
      <x:c r="C2" s="2"/>
      <x:c r="D2" s="2"/>
      <x:c r="E2" s="2"/>
      <x:c r="F2" s="2"/>
      <x:c r="G2" s="2"/>
      <x:c r="H2" s="2"/>
      <x:c r="I2" s="2"/>
      <x:c r="J2" s="2"/>
      <x:c r="K2" s="2"/>
    </x:row>
    <x:row r="3" ht="15" hidden="0">
      <x:c r="A3" s="7" t="s">
        <x:v>133</x:v>
      </x:c>
      <x:c r="B3" s="7" t="s">
        <x:v>103</x:v>
      </x:c>
      <x:c r="C3" s="7" t="s">
        <x:v>104</x:v>
      </x:c>
      <x:c r="D3" s="7" t="s">
        <x:v>134</x:v>
      </x:c>
      <x:c r="E3" s="7" t="s">
        <x:v>135</x:v>
      </x:c>
      <x:c r="F3" s="7" t="s">
        <x:v>136</x:v>
      </x:c>
      <x:c r="G3" s="7" t="s">
        <x:v>137</x:v>
      </x:c>
      <x:c r="H3" s="7" t="s">
        <x:v>138</x:v>
      </x:c>
      <x:c r="I3" s="7" t="s">
        <x:v>139</x:v>
      </x:c>
      <x:c r="J3" s="7" t="s">
        <x:v>140</x:v>
      </x:c>
      <x:c r="K3" s="7" t="s">
        <x:v>141</x:v>
      </x:c>
    </x:row>
    <x:row r="4" ht="15" hidden="0">
      <x:c r="A4" s="10" t="n">
        <x:v>1</x:v>
      </x:c>
      <x:c r="B4" s="10" t="s">
        <x:v>114</x:v>
      </x:c>
      <x:c r="C4" s="3" t="s">
        <x:v>115</x:v>
      </x:c>
      <x:c r="D4" s="3" t="s">
        <x:v>34</x:v>
      </x:c>
      <x:c r="E4" s="10" t="s">
        <x:v>142</x:v>
      </x:c>
      <x:c r="F4" s="10" t="s">
        <x:v>143</x:v>
      </x:c>
      <x:c r="G4" s="10" t="s">
        <x:v>144</x:v>
      </x:c>
      <x:c r="H4" s="3" t="s">
        <x:v>145</x:v>
      </x:c>
      <x:c r="I4" s="3" t="s">
        <x:v>146</x:v>
      </x:c>
      <x:c r="J4" s="3" t="s">
        <x:v>147</x:v>
      </x:c>
      <x:c r="K4" s="3" t="s">
        <x:v>148</x:v>
      </x:c>
    </x:row>
    <x:row r="5" ht="15" hidden="0">
      <x:c r="A5" s="10" t="n">
        <x:v>2</x:v>
      </x:c>
      <x:c r="B5" s="10" t="s">
        <x:v>117</x:v>
      </x:c>
      <x:c r="C5" s="10" t="s">
        <x:v>118</x:v>
      </x:c>
      <x:c r="D5" s="3" t="s">
        <x:v>34</x:v>
      </x:c>
      <x:c r="E5" s="10" t="s">
        <x:v>149</x:v>
      </x:c>
      <x:c r="F5" s="10" t="s">
        <x:v>150</x:v>
      </x:c>
      <x:c r="G5" s="10" t="s">
        <x:v>144</x:v>
      </x:c>
      <x:c r="H5" s="3" t="s">
        <x:v>151</x:v>
      </x:c>
      <x:c r="I5" s="3" t="s">
        <x:v>152</x:v>
      </x:c>
      <x:c r="J5" s="3" t="s">
        <x:v>147</x:v>
      </x:c>
      <x:c r="K5" s="3" t="s">
        <x:v>153</x:v>
      </x:c>
    </x:row>
    <x:row r="6" ht="15" hidden="0">
      <x:c r="A6" s="10" t="n">
        <x:v>3</x:v>
      </x:c>
      <x:c r="B6" s="10" t="s">
        <x:v>119</x:v>
      </x:c>
      <x:c r="C6" s="3" t="s">
        <x:v>120</x:v>
      </x:c>
      <x:c r="D6" s="3" t="s">
        <x:v>38</x:v>
      </x:c>
      <x:c r="E6" s="10" t="s">
        <x:v>154</x:v>
      </x:c>
      <x:c r="F6" s="10" t="s">
        <x:v>155</x:v>
      </x:c>
      <x:c r="G6" s="10" t="s">
        <x:v>156</x:v>
      </x:c>
      <x:c r="H6" s="3" t="s">
        <x:v>157</x:v>
      </x:c>
      <x:c r="I6" s="3" t="s">
        <x:v>158</x:v>
      </x:c>
      <x:c r="J6" s="3" t="s">
        <x:v>159</x:v>
      </x:c>
      <x:c r="K6" s="3" t="s">
        <x:v>160</x:v>
      </x:c>
    </x:row>
    <x:row r="7" ht="15" hidden="0">
      <x:c r="A7" s="10" t="n">
        <x:v>4</x:v>
      </x:c>
      <x:c r="B7" s="10" t="s">
        <x:v>161</x:v>
      </x:c>
      <x:c r="C7" s="3" t="s">
        <x:v>162</x:v>
      </x:c>
      <x:c r="D7" s="3" t="s">
        <x:v>163</x:v>
      </x:c>
      <x:c r="E7" s="10" t="s">
        <x:v>164</x:v>
      </x:c>
      <x:c r="F7" s="10" t="s">
        <x:v>165</x:v>
      </x:c>
      <x:c r="G7" s="10" t="s">
        <x:v>166</x:v>
      </x:c>
      <x:c r="H7" s="3" t="s">
        <x:v>167</x:v>
      </x:c>
      <x:c r="I7" s="3" t="s">
        <x:v>168</x:v>
      </x:c>
      <x:c r="J7" s="3" t="s">
        <x:v>169</x:v>
      </x:c>
      <x:c r="K7" s="3" t="s">
        <x:v>170</x:v>
      </x:c>
    </x:row>
    <x:row r="8" ht="15" hidden="0">
      <x:c r="A8" s="10" t="n">
        <x:v>5</x:v>
      </x:c>
      <x:c r="B8" s="10" t="s">
        <x:v>171</x:v>
      </x:c>
      <x:c r="C8" s="3" t="s">
        <x:v>172</x:v>
      </x:c>
      <x:c r="D8" s="3" t="s">
        <x:v>163</x:v>
      </x:c>
      <x:c r="E8" s="3" t="s">
        <x:v>173</x:v>
      </x:c>
      <x:c r="F8" s="3" t="s">
        <x:v>174</x:v>
      </x:c>
      <x:c r="G8" s="3" t="s">
        <x:v>175</x:v>
      </x:c>
      <x:c r="H8" s="3" t="s">
        <x:v>176</x:v>
      </x:c>
      <x:c r="I8" s="3" t="s">
        <x:v>177</x:v>
      </x:c>
      <x:c r="J8" s="3" t="s">
        <x:v>169</x:v>
      </x:c>
      <x:c r="K8" s="3" t="s">
        <x:v>178</x:v>
      </x:c>
    </x:row>
    <x:row r="9" ht="15" hidden="0">
      <x:c r="A9" s="10" t="n">
        <x:v>6</x:v>
      </x:c>
      <x:c r="B9" s="10" t="s">
        <x:v>179</x:v>
      </x:c>
      <x:c r="C9" s="3" t="s">
        <x:v>180</x:v>
      </x:c>
      <x:c r="D9" s="3" t="s">
        <x:v>181</x:v>
      </x:c>
      <x:c r="E9" s="3" t="s">
        <x:v>182</x:v>
      </x:c>
      <x:c r="F9" s="3" t="s">
        <x:v>183</x:v>
      </x:c>
      <x:c r="G9" s="3" t="s">
        <x:v>184</x:v>
      </x:c>
      <x:c r="H9" s="3" t="s">
        <x:v>185</x:v>
      </x:c>
      <x:c r="I9" s="3" t="s">
        <x:v>186</x:v>
      </x:c>
      <x:c r="J9" s="3" t="s">
        <x:v>169</x:v>
      </x:c>
      <x:c r="K9" s="3" t="s">
        <x:v>187</x:v>
      </x:c>
    </x:row>
    <x:row r="10" ht="15" hidden="0">
      <x:c r="A10" s="10" t="n">
        <x:v>7</x:v>
      </x:c>
      <x:c r="B10" s="10" t="s">
        <x:v>188</x:v>
      </x:c>
      <x:c r="C10" s="3" t="s">
        <x:v>189</x:v>
      </x:c>
      <x:c r="D10" s="3" t="s">
        <x:v>181</x:v>
      </x:c>
      <x:c r="E10" s="3" t="s">
        <x:v>190</x:v>
      </x:c>
      <x:c r="F10" s="3" t="s">
        <x:v>191</x:v>
      </x:c>
      <x:c r="G10" s="3" t="s">
        <x:v>184</x:v>
      </x:c>
      <x:c r="H10" s="3" t="s">
        <x:v>192</x:v>
      </x:c>
      <x:c r="I10" s="3" t="s">
        <x:v>193</x:v>
      </x:c>
      <x:c r="J10" s="3" t="s">
        <x:v>169</x:v>
      </x:c>
      <x:c r="K10" s="3" t="s">
        <x:v>194</x:v>
      </x:c>
    </x:row>
  </x:sheetData>
  <x:mergeCells>
    <x:mergeCell ref="A1:K1"/>
  </x:mergeCell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1" workbookViewId="0"/>
  </x:sheetViews>
  <x:sheetFormatPr defaultColWidth="8.6796875" defaultRowHeight="15"/>
  <x:cols>
    <x:col min="1" max="1" width="7" hidden="0" customWidth="1"/>
    <x:col min="2" max="2" width="11" hidden="0" customWidth="1"/>
    <x:col min="3" max="3" width="10" hidden="0" customWidth="1"/>
    <x:col min="4" max="4" width="18" hidden="0" customWidth="1"/>
    <x:col min="5" max="5" width="12" hidden="0" customWidth="1"/>
    <x:col min="6" max="7" width="13" hidden="0" customWidth="1"/>
    <x:col min="8" max="11" width="12" hidden="0" customWidth="1"/>
    <x:col min="12" max="12" width="13" hidden="0" customWidth="1"/>
    <x:col min="13" max="13" width="12" hidden="0" customWidth="1"/>
    <x:col min="14" max="14" width="11" hidden="0" customWidth="1"/>
    <x:col min="15" max="15" width="12" hidden="0" customWidth="1"/>
    <x:col min="16" max="16" width="35" hidden="0" customWidth="1"/>
    <x:col min="17" max="17" width="45" hidden="0" customWidth="1"/>
    <x:col min="18" max="18" width="12" hidden="0" customWidth="1"/>
    <x:col min="19" max="19" width="35" hidden="0" customWidth="1"/>
    <x:col min="20" max="20" width="24" hidden="0" customWidth="1"/>
  </x:cols>
  <x:sheetData>
    <x:row r="1" ht="15" hidden="0">
      <x:c r="A1" s="12" t="s">
        <x:v>195</x:v>
      </x:c>
      <x:c r="B1" s="12"/>
      <x:c r="C1" s="12"/>
      <x:c r="D1" s="12"/>
      <x:c r="E1" s="12"/>
      <x:c r="F1" s="12"/>
      <x:c r="G1" s="12"/>
      <x:c r="H1" s="12"/>
      <x:c r="I1" s="12"/>
      <x:c r="J1" s="12"/>
      <x:c r="K1" s="12"/>
      <x:c r="L1" s="12"/>
      <x:c r="M1" s="12"/>
      <x:c r="N1" s="12"/>
      <x:c r="O1" s="12"/>
      <x:c r="P1" s="12"/>
      <x:c r="Q1" s="12"/>
      <x:c r="R1" s="12"/>
      <x:c r="S1" s="12"/>
      <x:c r="T1" s="12"/>
    </x:row>
    <x:row r="2" ht="15" hidden="0">
      <x:c r="A2" s="2"/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  <x:c r="T2" s="2"/>
    </x:row>
    <x:row r="3" ht="15" hidden="0">
      <x:c r="A3" s="6" t="s">
        <x:v>196</x:v>
      </x:c>
      <x:c r="B3" s="7" t="s">
        <x:v>197</x:v>
      </x:c>
      <x:c r="C3" s="6" t="s">
        <x:v>5</x:v>
      </x:c>
      <x:c r="D3" s="7" t="s">
        <x:v>198</x:v>
      </x:c>
      <x:c r="E3" s="7" t="s">
        <x:v>199</x:v>
      </x:c>
      <x:c r="F3" s="7" t="s">
        <x:v>200</x:v>
      </x:c>
      <x:c r="G3" s="7" t="s">
        <x:v>201</x:v>
      </x:c>
      <x:c r="H3" s="6" t="s">
        <x:v>202</x:v>
      </x:c>
      <x:c r="I3" s="6" t="s">
        <x:v>203</x:v>
      </x:c>
      <x:c r="J3" s="6" t="s">
        <x:v>204</x:v>
      </x:c>
      <x:c r="K3" s="7" t="s">
        <x:v>205</x:v>
      </x:c>
      <x:c r="L3" s="7" t="s">
        <x:v>206</x:v>
      </x:c>
      <x:c r="M3" s="6" t="s">
        <x:v>207</x:v>
      </x:c>
      <x:c r="N3" s="7" t="s">
        <x:v>208</x:v>
      </x:c>
      <x:c r="O3" s="7" t="s">
        <x:v>12</x:v>
      </x:c>
      <x:c r="P3" s="7" t="s">
        <x:v>209</x:v>
      </x:c>
      <x:c r="Q3" s="6" t="s">
        <x:v>210</x:v>
      </x:c>
      <x:c r="R3" s="7" t="s">
        <x:v>11</x:v>
      </x:c>
      <x:c r="S3" s="7" t="s">
        <x:v>211</x:v>
      </x:c>
      <x:c r="T3" s="7" t="s">
        <x:v>140</x:v>
      </x:c>
    </x:row>
    <x:row r="4" ht="15" hidden="0">
      <x:c r="A4" s="10" t="n">
        <x:f aca="0">IF(D4&lt;&gt;"",ROW()-3,"")</x:f>
        <x:v>1</x:v>
      </x:c>
      <x:c r="B4" s="10" t="s">
        <x:v>212</x:v>
      </x:c>
      <x:c r="C4" s="10" t="s">
        <x:v>31</x:v>
      </x:c>
      <x:c r="D4" s="10" t="s">
        <x:v>35</x:v>
      </x:c>
      <x:c r="E4" s="3" t="s">
        <x:v>213</x:v>
      </x:c>
      <x:c r="F4" s="10"/>
      <x:c r="G4" s="10"/>
      <x:c r="H4" s="10" t="n">
        <x:v>3162</x:v>
      </x:c>
      <x:c r="I4" s="10" t="n">
        <x:v>3000</x:v>
      </x:c>
      <x:c r="J4" s="10" t="n">
        <x:v>3300</x:v>
      </x:c>
      <x:c r="K4" s="10" t="n">
        <x:f aca="0">IF(AND(H4&lt;&gt;"",I4&lt;&gt;""),(I4-H4)/H4,"")</x:f>
        <x:v>-0.051233396584440226</x:v>
      </x:c>
      <x:c r="L4" s="10"/>
      <x:c r="M4" s="10"/>
      <x:c r="N4" s="10" t="str">
        <x:f aca="0">IF(AND(H4&lt;&gt;"",M4&lt;&gt;""),(M4-H4)/H4,"")</x:f>
      </x:c>
      <x:c r="O4" s="3" t="s">
        <x:v>214</x:v>
      </x:c>
      <x:c r="P4" s="10" t="s">
        <x:v>215</x:v>
      </x:c>
      <x:c r="Q4" s="10" t="s">
        <x:v>142</x:v>
      </x:c>
      <x:c r="R4" s="3" t="s">
        <x:v>216</x:v>
      </x:c>
      <x:c r="S4" s="3" t="s">
        <x:v>217</x:v>
      </x:c>
      <x:c r="T4" s="3" t="s">
        <x:v>218</x:v>
      </x:c>
    </x:row>
    <x:row r="5" ht="15" hidden="0">
      <x:c r="A5" s="10" t="n">
        <x:f aca="0">IF(D5&lt;&gt;"",ROW()-3,"")</x:f>
        <x:v>2</x:v>
      </x:c>
      <x:c r="B5" s="10" t="s">
        <x:v>212</x:v>
      </x:c>
      <x:c r="C5" s="10" t="s">
        <x:v>31</x:v>
      </x:c>
      <x:c r="D5" s="10" t="s">
        <x:v>37</x:v>
      </x:c>
      <x:c r="E5" s="3" t="s">
        <x:v>213</x:v>
      </x:c>
      <x:c r="F5" s="10"/>
      <x:c r="G5" s="10"/>
      <x:c r="H5" s="10" t="n">
        <x:v>2670</x:v>
      </x:c>
      <x:c r="I5" s="10" t="n">
        <x:v>2580</x:v>
      </x:c>
      <x:c r="J5" s="10" t="n">
        <x:v>2800</x:v>
      </x:c>
      <x:c r="K5" s="10" t="n">
        <x:f aca="0">IF(AND(H5&lt;&gt;"",I5&lt;&gt;""),(I5-H5)/H5,"")</x:f>
        <x:v>-0.033707865168539325</x:v>
      </x:c>
      <x:c r="L5" s="10"/>
      <x:c r="M5" s="10"/>
      <x:c r="N5" s="10" t="str">
        <x:f aca="0">IF(AND(H5&lt;&gt;"",M5&lt;&gt;""),(M5-H5)/H5,"")</x:f>
      </x:c>
      <x:c r="O5" s="3" t="s">
        <x:v>214</x:v>
      </x:c>
      <x:c r="P5" s="3" t="s">
        <x:v>219</x:v>
      </x:c>
      <x:c r="Q5" s="10" t="s">
        <x:v>149</x:v>
      </x:c>
      <x:c r="R5" s="3" t="s">
        <x:v>216</x:v>
      </x:c>
      <x:c r="S5" s="3" t="s">
        <x:v>220</x:v>
      </x:c>
      <x:c r="T5" s="3" t="s">
        <x:v>218</x:v>
      </x:c>
    </x:row>
    <x:row r="6" ht="15" hidden="0">
      <x:c r="A6" s="10" t="n">
        <x:f aca="0">IF(D6&lt;&gt;"",ROW()-3,"")</x:f>
        <x:v>3</x:v>
      </x:c>
      <x:c r="B6" s="10" t="s">
        <x:v>212</x:v>
      </x:c>
      <x:c r="C6" s="10" t="s">
        <x:v>17</x:v>
      </x:c>
      <x:c r="D6" s="10" t="s">
        <x:v>39</x:v>
      </x:c>
      <x:c r="E6" s="3" t="s">
        <x:v>213</x:v>
      </x:c>
      <x:c r="F6" s="10"/>
      <x:c r="G6" s="10"/>
      <x:c r="H6" s="10" t="n">
        <x:v>66000</x:v>
      </x:c>
      <x:c r="I6" s="10" t="n">
        <x:v>62000</x:v>
      </x:c>
      <x:c r="J6" s="10" t="n">
        <x:v>74000</x:v>
      </x:c>
      <x:c r="K6" s="10" t="n">
        <x:f aca="0">IF(AND(H6&lt;&gt;"",I6&lt;&gt;""),(I6-H6)/H6,"")</x:f>
        <x:v>-0.06060606060606061</x:v>
      </x:c>
      <x:c r="L6" s="10"/>
      <x:c r="M6" s="10"/>
      <x:c r="N6" s="10" t="str">
        <x:f aca="0">IF(AND(H6&lt;&gt;"",M6&lt;&gt;""),(M6-H6)/H6,"")</x:f>
      </x:c>
      <x:c r="O6" s="3" t="s">
        <x:v>214</x:v>
      </x:c>
      <x:c r="P6" s="3" t="s">
        <x:v>221</x:v>
      </x:c>
      <x:c r="Q6" s="10" t="s">
        <x:v>222</x:v>
      </x:c>
      <x:c r="R6" s="3" t="s">
        <x:v>216</x:v>
      </x:c>
      <x:c r="S6" s="10" t="s">
        <x:v>223</x:v>
      </x:c>
      <x:c r="T6" s="3" t="s">
        <x:v>224</x:v>
      </x:c>
    </x:row>
    <x:row r="7" ht="15" hidden="0">
      <x:c r="A7" s="10" t="str">
        <x:f aca="0">IF(D7&lt;&gt;"",ROW()-3,"")</x:f>
      </x:c>
      <x:c r="B7" s="10"/>
      <x:c r="C7" s="10"/>
      <x:c r="D7" s="10"/>
      <x:c r="E7" s="10"/>
      <x:c r="F7" s="10"/>
      <x:c r="G7" s="10"/>
      <x:c r="H7" s="10"/>
      <x:c r="I7" s="10"/>
      <x:c r="J7" s="10"/>
      <x:c r="K7" s="10" t="str">
        <x:f aca="0">IF(AND(H7&lt;&gt;"",I7&lt;&gt;""),(I7-H7)/H7,"")</x:f>
      </x:c>
      <x:c r="L7" s="10"/>
      <x:c r="M7" s="10"/>
      <x:c r="N7" s="10" t="str">
        <x:f aca="0">IF(AND(H7&lt;&gt;"",M7&lt;&gt;""),(M7-H7)/H7,"")</x:f>
      </x:c>
      <x:c r="O7" s="10"/>
      <x:c r="P7" s="10"/>
      <x:c r="Q7" s="10"/>
      <x:c r="R7" s="10"/>
      <x:c r="S7" s="10"/>
      <x:c r="T7" s="10"/>
    </x:row>
    <x:row r="8" ht="15" hidden="0">
      <x:c r="A8" s="10" t="str">
        <x:f aca="0">IF(D8&lt;&gt;"",ROW()-3,"")</x:f>
      </x:c>
      <x:c r="B8" s="10"/>
      <x:c r="C8" s="10"/>
      <x:c r="D8" s="10"/>
      <x:c r="E8" s="10"/>
      <x:c r="F8" s="10"/>
      <x:c r="G8" s="10"/>
      <x:c r="H8" s="10"/>
      <x:c r="I8" s="10"/>
      <x:c r="J8" s="10"/>
      <x:c r="K8" s="10" t="str">
        <x:f aca="0">IF(AND(H8&lt;&gt;"",I8&lt;&gt;""),(I8-H8)/H8,"")</x:f>
      </x:c>
      <x:c r="L8" s="10"/>
      <x:c r="M8" s="10"/>
      <x:c r="N8" s="10" t="str">
        <x:f aca="0">IF(AND(H8&lt;&gt;"",M8&lt;&gt;""),(M8-H8)/H8,"")</x:f>
      </x:c>
      <x:c r="O8" s="10"/>
      <x:c r="P8" s="10"/>
      <x:c r="Q8" s="10"/>
      <x:c r="R8" s="10"/>
      <x:c r="S8" s="10"/>
      <x:c r="T8" s="10"/>
    </x:row>
    <x:row r="9" ht="15" hidden="0">
      <x:c r="A9" s="10" t="str">
        <x:f aca="0">IF(D9&lt;&gt;"",ROW()-3,"")</x:f>
      </x:c>
      <x:c r="B9" s="10"/>
      <x:c r="C9" s="10"/>
      <x:c r="D9" s="10"/>
      <x:c r="E9" s="10"/>
      <x:c r="F9" s="10"/>
      <x:c r="G9" s="10"/>
      <x:c r="H9" s="10"/>
      <x:c r="I9" s="10"/>
      <x:c r="J9" s="10"/>
      <x:c r="K9" s="10" t="str">
        <x:f aca="0">IF(AND(H9&lt;&gt;"",I9&lt;&gt;""),(I9-H9)/H9,"")</x:f>
      </x:c>
      <x:c r="L9" s="10"/>
      <x:c r="M9" s="10"/>
      <x:c r="N9" s="10" t="str">
        <x:f aca="0">IF(AND(H9&lt;&gt;"",M9&lt;&gt;""),(M9-H9)/H9,"")</x:f>
      </x:c>
      <x:c r="O9" s="10"/>
      <x:c r="P9" s="10"/>
      <x:c r="Q9" s="10"/>
      <x:c r="R9" s="10"/>
      <x:c r="S9" s="10"/>
      <x:c r="T9" s="10"/>
    </x:row>
    <x:row r="10" ht="15" hidden="0">
      <x:c r="A10" s="10" t="str">
        <x:f aca="0">IF(D10&lt;&gt;"",ROW()-3,"")</x:f>
      </x:c>
      <x:c r="B10" s="10"/>
      <x:c r="C10" s="10"/>
      <x:c r="D10" s="10"/>
      <x:c r="E10" s="10"/>
      <x:c r="F10" s="10"/>
      <x:c r="G10" s="10"/>
      <x:c r="H10" s="10"/>
      <x:c r="I10" s="10"/>
      <x:c r="J10" s="10"/>
      <x:c r="K10" s="10" t="str">
        <x:f aca="0">IF(AND(H10&lt;&gt;"",I10&lt;&gt;""),(I10-H10)/H10,"")</x:f>
      </x:c>
      <x:c r="L10" s="10"/>
      <x:c r="M10" s="10"/>
      <x:c r="N10" s="10" t="str">
        <x:f aca="0">IF(AND(H10&lt;&gt;"",M10&lt;&gt;""),(M10-H10)/H10,"")</x:f>
      </x:c>
      <x:c r="O10" s="10"/>
      <x:c r="P10" s="10"/>
      <x:c r="Q10" s="10"/>
      <x:c r="R10" s="10"/>
      <x:c r="S10" s="10"/>
      <x:c r="T10" s="10"/>
    </x:row>
    <x:row r="11" ht="15" hidden="0">
      <x:c r="A11" s="10" t="str">
        <x:f aca="0">IF(D11&lt;&gt;"",ROW()-3,"")</x:f>
      </x:c>
      <x:c r="B11" s="10"/>
      <x:c r="C11" s="10"/>
      <x:c r="D11" s="10"/>
      <x:c r="E11" s="10"/>
      <x:c r="F11" s="10"/>
      <x:c r="G11" s="10"/>
      <x:c r="H11" s="10"/>
      <x:c r="I11" s="10"/>
      <x:c r="J11" s="10"/>
      <x:c r="K11" s="10" t="str">
        <x:f aca="0">IF(AND(H11&lt;&gt;"",I11&lt;&gt;""),(I11-H11)/H11,"")</x:f>
      </x:c>
      <x:c r="L11" s="10"/>
      <x:c r="M11" s="10"/>
      <x:c r="N11" s="10" t="str">
        <x:f aca="0">IF(AND(H11&lt;&gt;"",M11&lt;&gt;""),(M11-H11)/H11,"")</x:f>
      </x:c>
      <x:c r="O11" s="10"/>
      <x:c r="P11" s="10"/>
      <x:c r="Q11" s="10"/>
      <x:c r="R11" s="10"/>
      <x:c r="S11" s="10"/>
      <x:c r="T11" s="10"/>
    </x:row>
    <x:row r="12" ht="15" hidden="0">
      <x:c r="A12" s="10" t="str">
        <x:f aca="0">IF(D12&lt;&gt;"",ROW()-3,"")</x:f>
      </x:c>
      <x:c r="B12" s="10"/>
      <x:c r="C12" s="10"/>
      <x:c r="D12" s="10"/>
      <x:c r="E12" s="10"/>
      <x:c r="F12" s="10"/>
      <x:c r="G12" s="10"/>
      <x:c r="H12" s="10"/>
      <x:c r="I12" s="10"/>
      <x:c r="J12" s="10"/>
      <x:c r="K12" s="10" t="str">
        <x:f aca="0">IF(AND(H12&lt;&gt;"",I12&lt;&gt;""),(I12-H12)/H12,"")</x:f>
      </x:c>
      <x:c r="L12" s="10"/>
      <x:c r="M12" s="10"/>
      <x:c r="N12" s="10" t="str">
        <x:f aca="0">IF(AND(H12&lt;&gt;"",M12&lt;&gt;""),(M12-H12)/H12,"")</x:f>
      </x:c>
      <x:c r="O12" s="10"/>
      <x:c r="P12" s="10"/>
      <x:c r="Q12" s="10"/>
      <x:c r="R12" s="10"/>
      <x:c r="S12" s="10"/>
      <x:c r="T12" s="10"/>
    </x:row>
    <x:row r="13" ht="15" hidden="0">
      <x:c r="A13" s="10" t="str">
        <x:f aca="0">IF(D13&lt;&gt;"",ROW()-3,"")</x:f>
      </x:c>
      <x:c r="B13" s="10"/>
      <x:c r="C13" s="10"/>
      <x:c r="D13" s="10"/>
      <x:c r="E13" s="10"/>
      <x:c r="F13" s="10"/>
      <x:c r="G13" s="10"/>
      <x:c r="H13" s="10"/>
      <x:c r="I13" s="10"/>
      <x:c r="J13" s="10"/>
      <x:c r="K13" s="10" t="str">
        <x:f aca="0">IF(AND(H13&lt;&gt;"",I13&lt;&gt;""),(I13-H13)/H13,"")</x:f>
      </x:c>
      <x:c r="L13" s="10"/>
      <x:c r="M13" s="10"/>
      <x:c r="N13" s="10" t="str">
        <x:f aca="0">IF(AND(H13&lt;&gt;"",M13&lt;&gt;""),(M13-H13)/H13,"")</x:f>
      </x:c>
      <x:c r="O13" s="10"/>
      <x:c r="P13" s="10"/>
      <x:c r="Q13" s="10"/>
      <x:c r="R13" s="10"/>
      <x:c r="S13" s="10"/>
      <x:c r="T13" s="10"/>
    </x:row>
    <x:row r="14" ht="15" hidden="0">
      <x:c r="A14" s="10" t="str">
        <x:f aca="0">IF(D14&lt;&gt;"",ROW()-3,"")</x:f>
      </x:c>
      <x:c r="B14" s="10"/>
      <x:c r="C14" s="10"/>
      <x:c r="D14" s="10"/>
      <x:c r="E14" s="10"/>
      <x:c r="F14" s="10"/>
      <x:c r="G14" s="10"/>
      <x:c r="H14" s="10"/>
      <x:c r="I14" s="10"/>
      <x:c r="J14" s="10"/>
      <x:c r="K14" s="10" t="str">
        <x:f aca="0">IF(AND(H14&lt;&gt;"",I14&lt;&gt;""),(I14-H14)/H14,"")</x:f>
      </x:c>
      <x:c r="L14" s="10"/>
      <x:c r="M14" s="10"/>
      <x:c r="N14" s="10" t="str">
        <x:f aca="0">IF(AND(H14&lt;&gt;"",M14&lt;&gt;""),(M14-H14)/H14,"")</x:f>
      </x:c>
      <x:c r="O14" s="10"/>
      <x:c r="P14" s="10"/>
      <x:c r="Q14" s="10"/>
      <x:c r="R14" s="10"/>
      <x:c r="S14" s="10"/>
      <x:c r="T14" s="10"/>
    </x:row>
    <x:row r="15" ht="15" hidden="0">
      <x:c r="A15" s="10" t="str">
        <x:f aca="0">IF(D15&lt;&gt;"",ROW()-3,"")</x:f>
      </x:c>
      <x:c r="B15" s="10"/>
      <x:c r="C15" s="10"/>
      <x:c r="D15" s="10"/>
      <x:c r="E15" s="10"/>
      <x:c r="F15" s="10"/>
      <x:c r="G15" s="10"/>
      <x:c r="H15" s="10"/>
      <x:c r="I15" s="10"/>
      <x:c r="J15" s="10"/>
      <x:c r="K15" s="10" t="str">
        <x:f aca="0">IF(AND(H15&lt;&gt;"",I15&lt;&gt;""),(I15-H15)/H15,"")</x:f>
      </x:c>
      <x:c r="L15" s="10"/>
      <x:c r="M15" s="10"/>
      <x:c r="N15" s="10" t="str">
        <x:f aca="0">IF(AND(H15&lt;&gt;"",M15&lt;&gt;""),(M15-H15)/H15,"")</x:f>
      </x:c>
      <x:c r="O15" s="10"/>
      <x:c r="P15" s="10"/>
      <x:c r="Q15" s="10"/>
      <x:c r="R15" s="10"/>
      <x:c r="S15" s="10"/>
      <x:c r="T15" s="10"/>
    </x:row>
    <x:row r="16" ht="15" hidden="0">
      <x:c r="A16" s="10" t="str">
        <x:f aca="0">IF(D16&lt;&gt;"",ROW()-3,"")</x:f>
      </x:c>
      <x:c r="B16" s="10"/>
      <x:c r="C16" s="10"/>
      <x:c r="D16" s="10"/>
      <x:c r="E16" s="10"/>
      <x:c r="F16" s="10"/>
      <x:c r="G16" s="10"/>
      <x:c r="H16" s="10"/>
      <x:c r="I16" s="10"/>
      <x:c r="J16" s="10"/>
      <x:c r="K16" s="10" t="str">
        <x:f aca="0">IF(AND(H16&lt;&gt;"",I16&lt;&gt;""),(I16-H16)/H16,"")</x:f>
      </x:c>
      <x:c r="L16" s="10"/>
      <x:c r="M16" s="10"/>
      <x:c r="N16" s="10" t="str">
        <x:f aca="0">IF(AND(H16&lt;&gt;"",M16&lt;&gt;""),(M16-H16)/H16,"")</x:f>
      </x:c>
      <x:c r="O16" s="10"/>
      <x:c r="P16" s="10"/>
      <x:c r="Q16" s="10"/>
      <x:c r="R16" s="10"/>
      <x:c r="S16" s="10"/>
      <x:c r="T16" s="10"/>
    </x:row>
    <x:row r="17" ht="15" hidden="0">
      <x:c r="A17" s="10" t="str">
        <x:f aca="0">IF(D17&lt;&gt;"",ROW()-3,"")</x:f>
      </x:c>
      <x:c r="B17" s="10"/>
      <x:c r="C17" s="10"/>
      <x:c r="D17" s="10"/>
      <x:c r="E17" s="10"/>
      <x:c r="F17" s="10"/>
      <x:c r="G17" s="10"/>
      <x:c r="H17" s="10"/>
      <x:c r="I17" s="10"/>
      <x:c r="J17" s="10"/>
      <x:c r="K17" s="10" t="str">
        <x:f aca="0">IF(AND(H17&lt;&gt;"",I17&lt;&gt;""),(I17-H17)/H17,"")</x:f>
      </x:c>
      <x:c r="L17" s="10"/>
      <x:c r="M17" s="10"/>
      <x:c r="N17" s="10" t="str">
        <x:f aca="0">IF(AND(H17&lt;&gt;"",M17&lt;&gt;""),(M17-H17)/H17,"")</x:f>
      </x:c>
      <x:c r="O17" s="10"/>
      <x:c r="P17" s="10"/>
      <x:c r="Q17" s="10"/>
      <x:c r="R17" s="10"/>
      <x:c r="S17" s="10"/>
      <x:c r="T17" s="10"/>
    </x:row>
    <x:row r="18" ht="15" hidden="0">
      <x:c r="A18" s="10" t="str">
        <x:f aca="0">IF(D18&lt;&gt;"",ROW()-3,"")</x:f>
      </x:c>
      <x:c r="B18" s="10"/>
      <x:c r="C18" s="10"/>
      <x:c r="D18" s="10"/>
      <x:c r="E18" s="10"/>
      <x:c r="F18" s="10"/>
      <x:c r="G18" s="10"/>
      <x:c r="H18" s="10"/>
      <x:c r="I18" s="10"/>
      <x:c r="J18" s="10"/>
      <x:c r="K18" s="10" t="str">
        <x:f aca="0">IF(AND(H18&lt;&gt;"",I18&lt;&gt;""),(I18-H18)/H18,"")</x:f>
      </x:c>
      <x:c r="L18" s="10"/>
      <x:c r="M18" s="10"/>
      <x:c r="N18" s="10" t="str">
        <x:f aca="0">IF(AND(H18&lt;&gt;"",M18&lt;&gt;""),(M18-H18)/H18,"")</x:f>
      </x:c>
      <x:c r="O18" s="10"/>
      <x:c r="P18" s="10"/>
      <x:c r="Q18" s="10"/>
      <x:c r="R18" s="10"/>
      <x:c r="S18" s="10"/>
      <x:c r="T18" s="10"/>
    </x:row>
    <x:row r="19" ht="15" hidden="0">
      <x:c r="A19" s="10" t="str">
        <x:f aca="0">IF(D19&lt;&gt;"",ROW()-3,"")</x:f>
      </x:c>
      <x:c r="B19" s="10"/>
      <x:c r="C19" s="10"/>
      <x:c r="D19" s="10"/>
      <x:c r="E19" s="10"/>
      <x:c r="F19" s="10"/>
      <x:c r="G19" s="10"/>
      <x:c r="H19" s="10"/>
      <x:c r="I19" s="10"/>
      <x:c r="J19" s="10"/>
      <x:c r="K19" s="10" t="str">
        <x:f aca="0">IF(AND(H19&lt;&gt;"",I19&lt;&gt;""),(I19-H19)/H19,"")</x:f>
      </x:c>
      <x:c r="L19" s="10"/>
      <x:c r="M19" s="10"/>
      <x:c r="N19" s="10" t="str">
        <x:f aca="0">IF(AND(H19&lt;&gt;"",M19&lt;&gt;""),(M19-H19)/H19,"")</x:f>
      </x:c>
      <x:c r="O19" s="10"/>
      <x:c r="P19" s="10"/>
      <x:c r="Q19" s="10"/>
      <x:c r="R19" s="10"/>
      <x:c r="S19" s="10"/>
      <x:c r="T19" s="10"/>
    </x:row>
    <x:row r="20" ht="15" hidden="0">
      <x:c r="A20" s="10" t="str">
        <x:f aca="0">IF(D20&lt;&gt;"",ROW()-3,"")</x:f>
      </x:c>
      <x:c r="B20" s="10"/>
      <x:c r="C20" s="10"/>
      <x:c r="D20" s="10"/>
      <x:c r="E20" s="10"/>
      <x:c r="F20" s="10"/>
      <x:c r="G20" s="10"/>
      <x:c r="H20" s="10"/>
      <x:c r="I20" s="10"/>
      <x:c r="J20" s="10"/>
      <x:c r="K20" s="10" t="str">
        <x:f aca="0">IF(AND(H20&lt;&gt;"",I20&lt;&gt;""),(I20-H20)/H20,"")</x:f>
      </x:c>
      <x:c r="L20" s="10"/>
      <x:c r="M20" s="10"/>
      <x:c r="N20" s="10" t="str">
        <x:f aca="0">IF(AND(H20&lt;&gt;"",M20&lt;&gt;""),(M20-H20)/H20,"")</x:f>
      </x:c>
      <x:c r="O20" s="10"/>
      <x:c r="P20" s="10"/>
      <x:c r="Q20" s="10"/>
      <x:c r="R20" s="10"/>
      <x:c r="S20" s="10"/>
      <x:c r="T20" s="10"/>
    </x:row>
    <x:row r="21" ht="15" hidden="0">
      <x:c r="A21" s="10" t="str">
        <x:f aca="0">IF(D21&lt;&gt;"",ROW()-3,"")</x:f>
      </x:c>
      <x:c r="B21" s="10"/>
      <x:c r="C21" s="10"/>
      <x:c r="D21" s="10"/>
      <x:c r="E21" s="10"/>
      <x:c r="F21" s="10"/>
      <x:c r="G21" s="10"/>
      <x:c r="H21" s="10"/>
      <x:c r="I21" s="10"/>
      <x:c r="J21" s="10"/>
      <x:c r="K21" s="10" t="str">
        <x:f aca="0">IF(AND(H21&lt;&gt;"",I21&lt;&gt;""),(I21-H21)/H21,"")</x:f>
      </x:c>
      <x:c r="L21" s="10"/>
      <x:c r="M21" s="10"/>
      <x:c r="N21" s="10" t="str">
        <x:f aca="0">IF(AND(H21&lt;&gt;"",M21&lt;&gt;""),(M21-H21)/H21,"")</x:f>
      </x:c>
      <x:c r="O21" s="10"/>
      <x:c r="P21" s="10"/>
      <x:c r="Q21" s="10"/>
      <x:c r="R21" s="10"/>
      <x:c r="S21" s="10"/>
      <x:c r="T21" s="10"/>
    </x:row>
    <x:row r="22" ht="15" hidden="0">
      <x:c r="A22" s="10" t="str">
        <x:f aca="0">IF(D22&lt;&gt;"",ROW()-3,"")</x:f>
      </x:c>
      <x:c r="B22" s="10"/>
      <x:c r="C22" s="10"/>
      <x:c r="D22" s="10"/>
      <x:c r="E22" s="10"/>
      <x:c r="F22" s="10"/>
      <x:c r="G22" s="10"/>
      <x:c r="H22" s="10"/>
      <x:c r="I22" s="10"/>
      <x:c r="J22" s="10"/>
      <x:c r="K22" s="10" t="str">
        <x:f aca="0">IF(AND(H22&lt;&gt;"",I22&lt;&gt;""),(I22-H22)/H22,"")</x:f>
      </x:c>
      <x:c r="L22" s="10"/>
      <x:c r="M22" s="10"/>
      <x:c r="N22" s="10" t="str">
        <x:f aca="0">IF(AND(H22&lt;&gt;"",M22&lt;&gt;""),(M22-H22)/H22,"")</x:f>
      </x:c>
      <x:c r="O22" s="10"/>
      <x:c r="P22" s="10"/>
      <x:c r="Q22" s="10"/>
      <x:c r="R22" s="10"/>
      <x:c r="S22" s="10"/>
      <x:c r="T22" s="10"/>
    </x:row>
    <x:row r="23" ht="15" hidden="0">
      <x:c r="A23" s="10" t="str">
        <x:f aca="0">IF(D23&lt;&gt;"",ROW()-3,"")</x:f>
      </x:c>
      <x:c r="B23" s="10"/>
      <x:c r="C23" s="10"/>
      <x:c r="D23" s="10"/>
      <x:c r="E23" s="10"/>
      <x:c r="F23" s="10"/>
      <x:c r="G23" s="10"/>
      <x:c r="H23" s="10"/>
      <x:c r="I23" s="10"/>
      <x:c r="J23" s="10"/>
      <x:c r="K23" s="10" t="str">
        <x:f aca="0">IF(AND(H23&lt;&gt;"",I23&lt;&gt;""),(I23-H23)/H23,"")</x:f>
      </x:c>
      <x:c r="L23" s="10"/>
      <x:c r="M23" s="10"/>
      <x:c r="N23" s="10" t="str">
        <x:f aca="0">IF(AND(H23&lt;&gt;"",M23&lt;&gt;""),(M23-H23)/H23,"")</x:f>
      </x:c>
      <x:c r="O23" s="10"/>
      <x:c r="P23" s="10"/>
      <x:c r="Q23" s="10"/>
      <x:c r="R23" s="10"/>
      <x:c r="S23" s="10"/>
      <x:c r="T23" s="10"/>
    </x:row>
    <x:row r="24" ht="15" hidden="0">
      <x:c r="A24" s="10" t="str">
        <x:f aca="0">IF(D24&lt;&gt;"",ROW()-3,"")</x:f>
      </x:c>
      <x:c r="B24" s="10"/>
      <x:c r="C24" s="10"/>
      <x:c r="D24" s="10"/>
      <x:c r="E24" s="10"/>
      <x:c r="F24" s="10"/>
      <x:c r="G24" s="10"/>
      <x:c r="H24" s="10"/>
      <x:c r="I24" s="10"/>
      <x:c r="J24" s="10"/>
      <x:c r="K24" s="10" t="str">
        <x:f aca="0">IF(AND(H24&lt;&gt;"",I24&lt;&gt;""),(I24-H24)/H24,"")</x:f>
      </x:c>
      <x:c r="L24" s="10"/>
      <x:c r="M24" s="10"/>
      <x:c r="N24" s="10" t="str">
        <x:f aca="0">IF(AND(H24&lt;&gt;"",M24&lt;&gt;""),(M24-H24)/H24,"")</x:f>
      </x:c>
      <x:c r="O24" s="10"/>
      <x:c r="P24" s="10"/>
      <x:c r="Q24" s="10"/>
      <x:c r="R24" s="10"/>
      <x:c r="S24" s="10"/>
      <x:c r="T24" s="10"/>
    </x:row>
    <x:row r="25" ht="15" hidden="0">
      <x:c r="A25" s="10" t="str">
        <x:f aca="0">IF(D25&lt;&gt;"",ROW()-3,"")</x:f>
      </x:c>
      <x:c r="B25" s="10"/>
      <x:c r="C25" s="10"/>
      <x:c r="D25" s="10"/>
      <x:c r="E25" s="10"/>
      <x:c r="F25" s="10"/>
      <x:c r="G25" s="10"/>
      <x:c r="H25" s="10"/>
      <x:c r="I25" s="10"/>
      <x:c r="J25" s="10"/>
      <x:c r="K25" s="10" t="str">
        <x:f aca="0">IF(AND(H25&lt;&gt;"",I25&lt;&gt;""),(I25-H25)/H25,"")</x:f>
      </x:c>
      <x:c r="L25" s="10"/>
      <x:c r="M25" s="10"/>
      <x:c r="N25" s="10" t="str">
        <x:f aca="0">IF(AND(H25&lt;&gt;"",M25&lt;&gt;""),(M25-H25)/H25,"")</x:f>
      </x:c>
      <x:c r="O25" s="10"/>
      <x:c r="P25" s="10"/>
      <x:c r="Q25" s="10"/>
      <x:c r="R25" s="10"/>
      <x:c r="S25" s="10"/>
      <x:c r="T25" s="10"/>
    </x:row>
    <x:row r="26" ht="15" hidden="0">
      <x:c r="A26" s="10" t="str">
        <x:f aca="0">IF(D26&lt;&gt;"",ROW()-3,"")</x:f>
      </x:c>
      <x:c r="B26" s="10"/>
      <x:c r="C26" s="10"/>
      <x:c r="D26" s="10"/>
      <x:c r="E26" s="10"/>
      <x:c r="F26" s="10"/>
      <x:c r="G26" s="10"/>
      <x:c r="H26" s="10"/>
      <x:c r="I26" s="10"/>
      <x:c r="J26" s="10"/>
      <x:c r="K26" s="10" t="str">
        <x:f aca="0">IF(AND(H26&lt;&gt;"",I26&lt;&gt;""),(I26-H26)/H26,"")</x:f>
      </x:c>
      <x:c r="L26" s="10"/>
      <x:c r="M26" s="10"/>
      <x:c r="N26" s="10" t="str">
        <x:f aca="0">IF(AND(H26&lt;&gt;"",M26&lt;&gt;""),(M26-H26)/H26,"")</x:f>
      </x:c>
      <x:c r="O26" s="10"/>
      <x:c r="P26" s="10"/>
      <x:c r="Q26" s="10"/>
      <x:c r="R26" s="10"/>
      <x:c r="S26" s="10"/>
      <x:c r="T26" s="10"/>
    </x:row>
    <x:row r="27" ht="15" hidden="0">
      <x:c r="A27" s="10" t="str">
        <x:f aca="0">IF(D27&lt;&gt;"",ROW()-3,"")</x:f>
      </x:c>
      <x:c r="B27" s="10"/>
      <x:c r="C27" s="10"/>
      <x:c r="D27" s="10"/>
      <x:c r="E27" s="10"/>
      <x:c r="F27" s="10"/>
      <x:c r="G27" s="10"/>
      <x:c r="H27" s="10"/>
      <x:c r="I27" s="10"/>
      <x:c r="J27" s="10"/>
      <x:c r="K27" s="10" t="str">
        <x:f aca="0">IF(AND(H27&lt;&gt;"",I27&lt;&gt;""),(I27-H27)/H27,"")</x:f>
      </x:c>
      <x:c r="L27" s="10"/>
      <x:c r="M27" s="10"/>
      <x:c r="N27" s="10" t="str">
        <x:f aca="0">IF(AND(H27&lt;&gt;"",M27&lt;&gt;""),(M27-H27)/H27,"")</x:f>
      </x:c>
      <x:c r="O27" s="10"/>
      <x:c r="P27" s="10"/>
      <x:c r="Q27" s="10"/>
      <x:c r="R27" s="10"/>
      <x:c r="S27" s="10"/>
      <x:c r="T27" s="10"/>
    </x:row>
    <x:row r="28" ht="15" hidden="0">
      <x:c r="A28" s="10" t="str">
        <x:f aca="0">IF(D28&lt;&gt;"",ROW()-3,"")</x:f>
      </x:c>
      <x:c r="B28" s="10"/>
      <x:c r="C28" s="10"/>
      <x:c r="D28" s="10"/>
      <x:c r="E28" s="10"/>
      <x:c r="F28" s="10"/>
      <x:c r="G28" s="10"/>
      <x:c r="H28" s="10"/>
      <x:c r="I28" s="10"/>
      <x:c r="J28" s="10"/>
      <x:c r="K28" s="10" t="str">
        <x:f aca="0">IF(AND(H28&lt;&gt;"",I28&lt;&gt;""),(I28-H28)/H28,"")</x:f>
      </x:c>
      <x:c r="L28" s="10"/>
      <x:c r="M28" s="10"/>
      <x:c r="N28" s="10" t="str">
        <x:f aca="0">IF(AND(H28&lt;&gt;"",M28&lt;&gt;""),(M28-H28)/H28,"")</x:f>
      </x:c>
      <x:c r="O28" s="10"/>
      <x:c r="P28" s="10"/>
      <x:c r="Q28" s="10"/>
      <x:c r="R28" s="10"/>
      <x:c r="S28" s="10"/>
      <x:c r="T28" s="10"/>
    </x:row>
    <x:row r="29" ht="15" hidden="0">
      <x:c r="A29" s="10" t="str">
        <x:f aca="0">IF(D29&lt;&gt;"",ROW()-3,"")</x:f>
      </x:c>
      <x:c r="B29" s="10"/>
      <x:c r="C29" s="10"/>
      <x:c r="D29" s="10"/>
      <x:c r="E29" s="10"/>
      <x:c r="F29" s="10"/>
      <x:c r="G29" s="10"/>
      <x:c r="H29" s="10"/>
      <x:c r="I29" s="10"/>
      <x:c r="J29" s="10"/>
      <x:c r="K29" s="10" t="str">
        <x:f aca="0">IF(AND(H29&lt;&gt;"",I29&lt;&gt;""),(I29-H29)/H29,"")</x:f>
      </x:c>
      <x:c r="L29" s="10"/>
      <x:c r="M29" s="10"/>
      <x:c r="N29" s="10" t="str">
        <x:f aca="0">IF(AND(H29&lt;&gt;"",M29&lt;&gt;""),(M29-H29)/H29,"")</x:f>
      </x:c>
      <x:c r="O29" s="10"/>
      <x:c r="P29" s="10"/>
      <x:c r="Q29" s="10"/>
      <x:c r="R29" s="10"/>
      <x:c r="S29" s="10"/>
      <x:c r="T29" s="10"/>
    </x:row>
    <x:row r="30" ht="15" hidden="0">
      <x:c r="A30" s="10" t="str">
        <x:f aca="0">IF(D30&lt;&gt;"",ROW()-3,"")</x:f>
      </x:c>
      <x:c r="B30" s="10"/>
      <x:c r="C30" s="10"/>
      <x:c r="D30" s="10"/>
      <x:c r="E30" s="10"/>
      <x:c r="F30" s="10"/>
      <x:c r="G30" s="10"/>
      <x:c r="H30" s="10"/>
      <x:c r="I30" s="10"/>
      <x:c r="J30" s="10"/>
      <x:c r="K30" s="10" t="str">
        <x:f aca="0">IF(AND(H30&lt;&gt;"",I30&lt;&gt;""),(I30-H30)/H30,"")</x:f>
      </x:c>
      <x:c r="L30" s="10"/>
      <x:c r="M30" s="10"/>
      <x:c r="N30" s="10" t="str">
        <x:f aca="0">IF(AND(H30&lt;&gt;"",M30&lt;&gt;""),(M30-H30)/H30,"")</x:f>
      </x:c>
      <x:c r="O30" s="10"/>
      <x:c r="P30" s="10"/>
      <x:c r="Q30" s="10"/>
      <x:c r="R30" s="10"/>
      <x:c r="S30" s="10"/>
      <x:c r="T30" s="10"/>
    </x:row>
    <x:row r="31" ht="15" hidden="0">
      <x:c r="A31" s="10" t="str">
        <x:f aca="0">IF(D31&lt;&gt;"",ROW()-3,"")</x:f>
      </x:c>
      <x:c r="B31" s="10"/>
      <x:c r="C31" s="10"/>
      <x:c r="D31" s="10"/>
      <x:c r="E31" s="10"/>
      <x:c r="F31" s="10"/>
      <x:c r="G31" s="10"/>
      <x:c r="H31" s="10"/>
      <x:c r="I31" s="10"/>
      <x:c r="J31" s="10"/>
      <x:c r="K31" s="10" t="str">
        <x:f aca="0">IF(AND(H31&lt;&gt;"",I31&lt;&gt;""),(I31-H31)/H31,"")</x:f>
      </x:c>
      <x:c r="L31" s="10"/>
      <x:c r="M31" s="10"/>
      <x:c r="N31" s="10" t="str">
        <x:f aca="0">IF(AND(H31&lt;&gt;"",M31&lt;&gt;""),(M31-H31)/H31,"")</x:f>
      </x:c>
      <x:c r="O31" s="10"/>
      <x:c r="P31" s="10"/>
      <x:c r="Q31" s="10"/>
      <x:c r="R31" s="10"/>
      <x:c r="S31" s="10"/>
      <x:c r="T31" s="10"/>
    </x:row>
    <x:row r="32" ht="15" hidden="0">
      <x:c r="A32" s="10" t="str">
        <x:f aca="0">IF(D32&lt;&gt;"",ROW()-3,"")</x:f>
      </x:c>
      <x:c r="B32" s="10"/>
      <x:c r="C32" s="10"/>
      <x:c r="D32" s="10"/>
      <x:c r="E32" s="10"/>
      <x:c r="F32" s="10"/>
      <x:c r="G32" s="10"/>
      <x:c r="H32" s="10"/>
      <x:c r="I32" s="10"/>
      <x:c r="J32" s="10"/>
      <x:c r="K32" s="10" t="str">
        <x:f aca="0">IF(AND(H32&lt;&gt;"",I32&lt;&gt;""),(I32-H32)/H32,"")</x:f>
      </x:c>
      <x:c r="L32" s="10"/>
      <x:c r="M32" s="10"/>
      <x:c r="N32" s="10" t="str">
        <x:f aca="0">IF(AND(H32&lt;&gt;"",M32&lt;&gt;""),(M32-H32)/H32,"")</x:f>
      </x:c>
      <x:c r="O32" s="10"/>
      <x:c r="P32" s="10"/>
      <x:c r="Q32" s="10"/>
      <x:c r="R32" s="10"/>
      <x:c r="S32" s="10"/>
      <x:c r="T32" s="10"/>
    </x:row>
    <x:row r="33" ht="15" hidden="0">
      <x:c r="A33" s="10" t="str">
        <x:f aca="0">IF(D33&lt;&gt;"",ROW()-3,"")</x:f>
      </x:c>
      <x:c r="B33" s="10"/>
      <x:c r="C33" s="10"/>
      <x:c r="D33" s="10"/>
      <x:c r="E33" s="10"/>
      <x:c r="F33" s="10"/>
      <x:c r="G33" s="10"/>
      <x:c r="H33" s="10"/>
      <x:c r="I33" s="10"/>
      <x:c r="J33" s="10"/>
      <x:c r="K33" s="10" t="str">
        <x:f aca="0">IF(AND(H33&lt;&gt;"",I33&lt;&gt;""),(I33-H33)/H33,"")</x:f>
      </x:c>
      <x:c r="L33" s="10"/>
      <x:c r="M33" s="10"/>
      <x:c r="N33" s="10" t="str">
        <x:f aca="0">IF(AND(H33&lt;&gt;"",M33&lt;&gt;""),(M33-H33)/H33,"")</x:f>
      </x:c>
      <x:c r="O33" s="10"/>
      <x:c r="P33" s="10"/>
      <x:c r="Q33" s="10"/>
      <x:c r="R33" s="10"/>
      <x:c r="S33" s="10"/>
      <x:c r="T33" s="10"/>
    </x:row>
    <x:row r="34" ht="15" hidden="0">
      <x:c r="A34" s="10" t="str">
        <x:f aca="0">IF(D34&lt;&gt;"",ROW()-3,"")</x:f>
      </x:c>
      <x:c r="B34" s="10"/>
      <x:c r="C34" s="10"/>
      <x:c r="D34" s="10"/>
      <x:c r="E34" s="10"/>
      <x:c r="F34" s="10"/>
      <x:c r="G34" s="10"/>
      <x:c r="H34" s="10"/>
      <x:c r="I34" s="10"/>
      <x:c r="J34" s="10"/>
      <x:c r="K34" s="10" t="str">
        <x:f aca="0">IF(AND(H34&lt;&gt;"",I34&lt;&gt;""),(I34-H34)/H34,"")</x:f>
      </x:c>
      <x:c r="L34" s="10"/>
      <x:c r="M34" s="10"/>
      <x:c r="N34" s="10" t="str">
        <x:f aca="0">IF(AND(H34&lt;&gt;"",M34&lt;&gt;""),(M34-H34)/H34,"")</x:f>
      </x:c>
      <x:c r="O34" s="10"/>
      <x:c r="P34" s="10"/>
      <x:c r="Q34" s="10"/>
      <x:c r="R34" s="10"/>
      <x:c r="S34" s="10"/>
      <x:c r="T34" s="10"/>
    </x:row>
    <x:row r="35" ht="15" hidden="0">
      <x:c r="A35" s="10" t="str">
        <x:f aca="0">IF(D35&lt;&gt;"",ROW()-3,"")</x:f>
      </x:c>
      <x:c r="B35" s="10"/>
      <x:c r="C35" s="10"/>
      <x:c r="D35" s="10"/>
      <x:c r="E35" s="10"/>
      <x:c r="F35" s="10"/>
      <x:c r="G35" s="10"/>
      <x:c r="H35" s="10"/>
      <x:c r="I35" s="10"/>
      <x:c r="J35" s="10"/>
      <x:c r="K35" s="10" t="str">
        <x:f aca="0">IF(AND(H35&lt;&gt;"",I35&lt;&gt;""),(I35-H35)/H35,"")</x:f>
      </x:c>
      <x:c r="L35" s="10"/>
      <x:c r="M35" s="10"/>
      <x:c r="N35" s="10" t="str">
        <x:f aca="0">IF(AND(H35&lt;&gt;"",M35&lt;&gt;""),(M35-H35)/H35,"")</x:f>
      </x:c>
      <x:c r="O35" s="10"/>
      <x:c r="P35" s="10"/>
      <x:c r="Q35" s="10"/>
      <x:c r="R35" s="10"/>
      <x:c r="S35" s="10"/>
      <x:c r="T35" s="10"/>
    </x:row>
    <x:row r="36" ht="15" hidden="0">
      <x:c r="A36" s="10" t="str">
        <x:f aca="0">IF(D36&lt;&gt;"",ROW()-3,"")</x:f>
      </x:c>
      <x:c r="B36" s="10"/>
      <x:c r="C36" s="10"/>
      <x:c r="D36" s="10"/>
      <x:c r="E36" s="10"/>
      <x:c r="F36" s="10"/>
      <x:c r="G36" s="10"/>
      <x:c r="H36" s="10"/>
      <x:c r="I36" s="10"/>
      <x:c r="J36" s="10"/>
      <x:c r="K36" s="10" t="str">
        <x:f aca="0">IF(AND(H36&lt;&gt;"",I36&lt;&gt;""),(I36-H36)/H36,"")</x:f>
      </x:c>
      <x:c r="L36" s="10"/>
      <x:c r="M36" s="10"/>
      <x:c r="N36" s="10" t="str">
        <x:f aca="0">IF(AND(H36&lt;&gt;"",M36&lt;&gt;""),(M36-H36)/H36,"")</x:f>
      </x:c>
      <x:c r="O36" s="10"/>
      <x:c r="P36" s="10"/>
      <x:c r="Q36" s="10"/>
      <x:c r="R36" s="10"/>
      <x:c r="S36" s="10"/>
      <x:c r="T36" s="10"/>
    </x:row>
    <x:row r="37" ht="15" hidden="0">
      <x:c r="A37" s="10" t="str">
        <x:f aca="0">IF(D37&lt;&gt;"",ROW()-3,"")</x:f>
      </x:c>
      <x:c r="B37" s="10"/>
      <x:c r="C37" s="10"/>
      <x:c r="D37" s="10"/>
      <x:c r="E37" s="10"/>
      <x:c r="F37" s="10"/>
      <x:c r="G37" s="10"/>
      <x:c r="H37" s="10"/>
      <x:c r="I37" s="10"/>
      <x:c r="J37" s="10"/>
      <x:c r="K37" s="10" t="str">
        <x:f aca="0">IF(AND(H37&lt;&gt;"",I37&lt;&gt;""),(I37-H37)/H37,"")</x:f>
      </x:c>
      <x:c r="L37" s="10"/>
      <x:c r="M37" s="10"/>
      <x:c r="N37" s="10" t="str">
        <x:f aca="0">IF(AND(H37&lt;&gt;"",M37&lt;&gt;""),(M37-H37)/H37,"")</x:f>
      </x:c>
      <x:c r="O37" s="10"/>
      <x:c r="P37" s="10"/>
      <x:c r="Q37" s="10"/>
      <x:c r="R37" s="10"/>
      <x:c r="S37" s="10"/>
      <x:c r="T37" s="10"/>
    </x:row>
    <x:row r="38" ht="15" hidden="0">
      <x:c r="A38" s="10" t="str">
        <x:f aca="0">IF(D38&lt;&gt;"",ROW()-3,"")</x:f>
      </x:c>
      <x:c r="B38" s="10"/>
      <x:c r="C38" s="10"/>
      <x:c r="D38" s="10"/>
      <x:c r="E38" s="10"/>
      <x:c r="F38" s="10"/>
      <x:c r="G38" s="10"/>
      <x:c r="H38" s="10"/>
      <x:c r="I38" s="10"/>
      <x:c r="J38" s="10"/>
      <x:c r="K38" s="10" t="str">
        <x:f aca="0">IF(AND(H38&lt;&gt;"",I38&lt;&gt;""),(I38-H38)/H38,"")</x:f>
      </x:c>
      <x:c r="L38" s="10"/>
      <x:c r="M38" s="10"/>
      <x:c r="N38" s="10" t="str">
        <x:f aca="0">IF(AND(H38&lt;&gt;"",M38&lt;&gt;""),(M38-H38)/H38,"")</x:f>
      </x:c>
      <x:c r="O38" s="10"/>
      <x:c r="P38" s="10"/>
      <x:c r="Q38" s="10"/>
      <x:c r="R38" s="10"/>
      <x:c r="S38" s="10"/>
      <x:c r="T38" s="10"/>
    </x:row>
    <x:row r="39" ht="15" hidden="0">
      <x:c r="A39" s="10" t="str">
        <x:f aca="0">IF(D39&lt;&gt;"",ROW()-3,"")</x:f>
      </x:c>
      <x:c r="B39" s="10"/>
      <x:c r="C39" s="10"/>
      <x:c r="D39" s="10"/>
      <x:c r="E39" s="10"/>
      <x:c r="F39" s="10"/>
      <x:c r="G39" s="10"/>
      <x:c r="H39" s="10"/>
      <x:c r="I39" s="10"/>
      <x:c r="J39" s="10"/>
      <x:c r="K39" s="10" t="str">
        <x:f aca="0">IF(AND(H39&lt;&gt;"",I39&lt;&gt;""),(I39-H39)/H39,"")</x:f>
      </x:c>
      <x:c r="L39" s="10"/>
      <x:c r="M39" s="10"/>
      <x:c r="N39" s="10" t="str">
        <x:f aca="0">IF(AND(H39&lt;&gt;"",M39&lt;&gt;""),(M39-H39)/H39,"")</x:f>
      </x:c>
      <x:c r="O39" s="10"/>
      <x:c r="P39" s="10"/>
      <x:c r="Q39" s="10"/>
      <x:c r="R39" s="10"/>
      <x:c r="S39" s="10"/>
      <x:c r="T39" s="10"/>
    </x:row>
    <x:row r="40" ht="15" hidden="0">
      <x:c r="A40" s="10" t="str">
        <x:f aca="0">IF(D40&lt;&gt;"",ROW()-3,"")</x:f>
      </x:c>
      <x:c r="B40" s="10"/>
      <x:c r="C40" s="10"/>
      <x:c r="D40" s="10"/>
      <x:c r="E40" s="10"/>
      <x:c r="F40" s="10"/>
      <x:c r="G40" s="10"/>
      <x:c r="H40" s="10"/>
      <x:c r="I40" s="10"/>
      <x:c r="J40" s="10"/>
      <x:c r="K40" s="10" t="str">
        <x:f aca="0">IF(AND(H40&lt;&gt;"",I40&lt;&gt;""),(I40-H40)/H40,"")</x:f>
      </x:c>
      <x:c r="L40" s="10"/>
      <x:c r="M40" s="10"/>
      <x:c r="N40" s="10" t="str">
        <x:f aca="0">IF(AND(H40&lt;&gt;"",M40&lt;&gt;""),(M40-H40)/H40,"")</x:f>
      </x:c>
      <x:c r="O40" s="10"/>
      <x:c r="P40" s="10"/>
      <x:c r="Q40" s="10"/>
      <x:c r="R40" s="10"/>
      <x:c r="S40" s="10"/>
      <x:c r="T40" s="10"/>
    </x:row>
    <x:row r="41" ht="15" hidden="0">
      <x:c r="A41" s="10" t="str">
        <x:f aca="0">IF(D41&lt;&gt;"",ROW()-3,"")</x:f>
      </x:c>
      <x:c r="B41" s="10"/>
      <x:c r="C41" s="10"/>
      <x:c r="D41" s="10"/>
      <x:c r="E41" s="10"/>
      <x:c r="F41" s="10"/>
      <x:c r="G41" s="10"/>
      <x:c r="H41" s="10"/>
      <x:c r="I41" s="10"/>
      <x:c r="J41" s="10"/>
      <x:c r="K41" s="10" t="str">
        <x:f aca="0">IF(AND(H41&lt;&gt;"",I41&lt;&gt;""),(I41-H41)/H41,"")</x:f>
      </x:c>
      <x:c r="L41" s="10"/>
      <x:c r="M41" s="10"/>
      <x:c r="N41" s="10" t="str">
        <x:f aca="0">IF(AND(H41&lt;&gt;"",M41&lt;&gt;""),(M41-H41)/H41,"")</x:f>
      </x:c>
      <x:c r="O41" s="10"/>
      <x:c r="P41" s="10"/>
      <x:c r="Q41" s="10"/>
      <x:c r="R41" s="10"/>
      <x:c r="S41" s="10"/>
      <x:c r="T41" s="10"/>
    </x:row>
    <x:row r="42" ht="15" hidden="0">
      <x:c r="A42" s="10" t="str">
        <x:f aca="0">IF(D42&lt;&gt;"",ROW()-3,"")</x:f>
      </x:c>
      <x:c r="B42" s="10"/>
      <x:c r="C42" s="10"/>
      <x:c r="D42" s="10"/>
      <x:c r="E42" s="10"/>
      <x:c r="F42" s="10"/>
      <x:c r="G42" s="10"/>
      <x:c r="H42" s="10"/>
      <x:c r="I42" s="10"/>
      <x:c r="J42" s="10"/>
      <x:c r="K42" s="10" t="str">
        <x:f aca="0">IF(AND(H42&lt;&gt;"",I42&lt;&gt;""),(I42-H42)/H42,"")</x:f>
      </x:c>
      <x:c r="L42" s="10"/>
      <x:c r="M42" s="10"/>
      <x:c r="N42" s="10" t="str">
        <x:f aca="0">IF(AND(H42&lt;&gt;"",M42&lt;&gt;""),(M42-H42)/H42,"")</x:f>
      </x:c>
      <x:c r="O42" s="10"/>
      <x:c r="P42" s="10"/>
      <x:c r="Q42" s="10"/>
      <x:c r="R42" s="10"/>
      <x:c r="S42" s="10"/>
      <x:c r="T42" s="10"/>
    </x:row>
    <x:row r="43" ht="15" hidden="0">
      <x:c r="A43" s="10" t="str">
        <x:f aca="0">IF(D43&lt;&gt;"",ROW()-3,"")</x:f>
      </x:c>
      <x:c r="B43" s="10"/>
      <x:c r="C43" s="10"/>
      <x:c r="D43" s="10"/>
      <x:c r="E43" s="10"/>
      <x:c r="F43" s="10"/>
      <x:c r="G43" s="10"/>
      <x:c r="H43" s="10"/>
      <x:c r="I43" s="10"/>
      <x:c r="J43" s="10"/>
      <x:c r="K43" s="10" t="str">
        <x:f aca="0">IF(AND(H43&lt;&gt;"",I43&lt;&gt;""),(I43-H43)/H43,"")</x:f>
      </x:c>
      <x:c r="L43" s="10"/>
      <x:c r="M43" s="10"/>
      <x:c r="N43" s="10" t="str">
        <x:f aca="0">IF(AND(H43&lt;&gt;"",M43&lt;&gt;""),(M43-H43)/H43,"")</x:f>
      </x:c>
      <x:c r="O43" s="10"/>
      <x:c r="P43" s="10"/>
      <x:c r="Q43" s="10"/>
      <x:c r="R43" s="10"/>
      <x:c r="S43" s="10"/>
      <x:c r="T43" s="10"/>
    </x:row>
    <x:row r="44" ht="15" hidden="0">
      <x:c r="A44" s="10" t="str">
        <x:f aca="0">IF(D44&lt;&gt;"",ROW()-3,"")</x:f>
      </x:c>
      <x:c r="B44" s="10"/>
      <x:c r="C44" s="10"/>
      <x:c r="D44" s="10"/>
      <x:c r="E44" s="10"/>
      <x:c r="F44" s="10"/>
      <x:c r="G44" s="10"/>
      <x:c r="H44" s="10"/>
      <x:c r="I44" s="10"/>
      <x:c r="J44" s="10"/>
      <x:c r="K44" s="10" t="str">
        <x:f aca="0">IF(AND(H44&lt;&gt;"",I44&lt;&gt;""),(I44-H44)/H44,"")</x:f>
      </x:c>
      <x:c r="L44" s="10"/>
      <x:c r="M44" s="10"/>
      <x:c r="N44" s="10" t="str">
        <x:f aca="0">IF(AND(H44&lt;&gt;"",M44&lt;&gt;""),(M44-H44)/H44,"")</x:f>
      </x:c>
      <x:c r="O44" s="10"/>
      <x:c r="P44" s="10"/>
      <x:c r="Q44" s="10"/>
      <x:c r="R44" s="10"/>
      <x:c r="S44" s="10"/>
      <x:c r="T44" s="10"/>
    </x:row>
    <x:row r="45" ht="15" hidden="0">
      <x:c r="A45" s="10" t="str">
        <x:f aca="0">IF(D45&lt;&gt;"",ROW()-3,"")</x:f>
      </x:c>
      <x:c r="B45" s="10"/>
      <x:c r="C45" s="10"/>
      <x:c r="D45" s="10"/>
      <x:c r="E45" s="10"/>
      <x:c r="F45" s="10"/>
      <x:c r="G45" s="10"/>
      <x:c r="H45" s="10"/>
      <x:c r="I45" s="10"/>
      <x:c r="J45" s="10"/>
      <x:c r="K45" s="10" t="str">
        <x:f aca="0">IF(AND(H45&lt;&gt;"",I45&lt;&gt;""),(I45-H45)/H45,"")</x:f>
      </x:c>
      <x:c r="L45" s="10"/>
      <x:c r="M45" s="10"/>
      <x:c r="N45" s="10" t="str">
        <x:f aca="0">IF(AND(H45&lt;&gt;"",M45&lt;&gt;""),(M45-H45)/H45,"")</x:f>
      </x:c>
      <x:c r="O45" s="10"/>
      <x:c r="P45" s="10"/>
      <x:c r="Q45" s="10"/>
      <x:c r="R45" s="10"/>
      <x:c r="S45" s="10"/>
      <x:c r="T45" s="10"/>
    </x:row>
    <x:row r="46" ht="15" hidden="0">
      <x:c r="A46" s="10" t="str">
        <x:f aca="0">IF(D46&lt;&gt;"",ROW()-3,"")</x:f>
      </x:c>
      <x:c r="B46" s="10"/>
      <x:c r="C46" s="10"/>
      <x:c r="D46" s="10"/>
      <x:c r="E46" s="10"/>
      <x:c r="F46" s="10"/>
      <x:c r="G46" s="10"/>
      <x:c r="H46" s="10"/>
      <x:c r="I46" s="10"/>
      <x:c r="J46" s="10"/>
      <x:c r="K46" s="10" t="str">
        <x:f aca="0">IF(AND(H46&lt;&gt;"",I46&lt;&gt;""),(I46-H46)/H46,"")</x:f>
      </x:c>
      <x:c r="L46" s="10"/>
      <x:c r="M46" s="10"/>
      <x:c r="N46" s="10" t="str">
        <x:f aca="0">IF(AND(H46&lt;&gt;"",M46&lt;&gt;""),(M46-H46)/H46,"")</x:f>
      </x:c>
      <x:c r="O46" s="10"/>
      <x:c r="P46" s="10"/>
      <x:c r="Q46" s="10"/>
      <x:c r="R46" s="10"/>
      <x:c r="S46" s="10"/>
      <x:c r="T46" s="10"/>
    </x:row>
    <x:row r="47" ht="15" hidden="0">
      <x:c r="A47" s="10" t="str">
        <x:f aca="0">IF(D47&lt;&gt;"",ROW()-3,"")</x:f>
      </x:c>
      <x:c r="B47" s="10"/>
      <x:c r="C47" s="10"/>
      <x:c r="D47" s="10"/>
      <x:c r="E47" s="10"/>
      <x:c r="F47" s="10"/>
      <x:c r="G47" s="10"/>
      <x:c r="H47" s="10"/>
      <x:c r="I47" s="10"/>
      <x:c r="J47" s="10"/>
      <x:c r="K47" s="10" t="str">
        <x:f aca="0">IF(AND(H47&lt;&gt;"",I47&lt;&gt;""),(I47-H47)/H47,"")</x:f>
      </x:c>
      <x:c r="L47" s="10"/>
      <x:c r="M47" s="10"/>
      <x:c r="N47" s="10" t="str">
        <x:f aca="0">IF(AND(H47&lt;&gt;"",M47&lt;&gt;""),(M47-H47)/H47,"")</x:f>
      </x:c>
      <x:c r="O47" s="10"/>
      <x:c r="P47" s="10"/>
      <x:c r="Q47" s="10"/>
      <x:c r="R47" s="10"/>
      <x:c r="S47" s="10"/>
      <x:c r="T47" s="10"/>
    </x:row>
    <x:row r="48" ht="15" hidden="0">
      <x:c r="A48" s="10" t="str">
        <x:f aca="0">IF(D48&lt;&gt;"",ROW()-3,"")</x:f>
      </x:c>
      <x:c r="B48" s="10"/>
      <x:c r="C48" s="10"/>
      <x:c r="D48" s="10"/>
      <x:c r="E48" s="10"/>
      <x:c r="F48" s="10"/>
      <x:c r="G48" s="10"/>
      <x:c r="H48" s="10"/>
      <x:c r="I48" s="10"/>
      <x:c r="J48" s="10"/>
      <x:c r="K48" s="10" t="str">
        <x:f aca="0">IF(AND(H48&lt;&gt;"",I48&lt;&gt;""),(I48-H48)/H48,"")</x:f>
      </x:c>
      <x:c r="L48" s="10"/>
      <x:c r="M48" s="10"/>
      <x:c r="N48" s="10" t="str">
        <x:f aca="0">IF(AND(H48&lt;&gt;"",M48&lt;&gt;""),(M48-H48)/H48,"")</x:f>
      </x:c>
      <x:c r="O48" s="10"/>
      <x:c r="P48" s="10"/>
      <x:c r="Q48" s="10"/>
      <x:c r="R48" s="10"/>
      <x:c r="S48" s="10"/>
      <x:c r="T48" s="10"/>
    </x:row>
    <x:row r="49" ht="15" hidden="0">
      <x:c r="A49" s="10" t="str">
        <x:f aca="0">IF(D49&lt;&gt;"",ROW()-3,"")</x:f>
      </x:c>
      <x:c r="B49" s="10"/>
      <x:c r="C49" s="10"/>
      <x:c r="D49" s="10"/>
      <x:c r="E49" s="10"/>
      <x:c r="F49" s="10"/>
      <x:c r="G49" s="10"/>
      <x:c r="H49" s="10"/>
      <x:c r="I49" s="10"/>
      <x:c r="J49" s="10"/>
      <x:c r="K49" s="10" t="str">
        <x:f aca="0">IF(AND(H49&lt;&gt;"",I49&lt;&gt;""),(I49-H49)/H49,"")</x:f>
      </x:c>
      <x:c r="L49" s="10"/>
      <x:c r="M49" s="10"/>
      <x:c r="N49" s="10" t="str">
        <x:f aca="0">IF(AND(H49&lt;&gt;"",M49&lt;&gt;""),(M49-H49)/H49,"")</x:f>
      </x:c>
      <x:c r="O49" s="10"/>
      <x:c r="P49" s="10"/>
      <x:c r="Q49" s="10"/>
      <x:c r="R49" s="10"/>
      <x:c r="S49" s="10"/>
      <x:c r="T49" s="10"/>
    </x:row>
    <x:row r="50" ht="15" hidden="0">
      <x:c r="A50" s="10" t="str">
        <x:f aca="0">IF(D50&lt;&gt;"",ROW()-3,"")</x:f>
      </x:c>
      <x:c r="B50" s="10"/>
      <x:c r="C50" s="10"/>
      <x:c r="D50" s="10"/>
      <x:c r="E50" s="10"/>
      <x:c r="F50" s="10"/>
      <x:c r="G50" s="10"/>
      <x:c r="H50" s="10"/>
      <x:c r="I50" s="10"/>
      <x:c r="J50" s="10"/>
      <x:c r="K50" s="10" t="str">
        <x:f aca="0">IF(AND(H50&lt;&gt;"",I50&lt;&gt;""),(I50-H50)/H50,"")</x:f>
      </x:c>
      <x:c r="L50" s="10"/>
      <x:c r="M50" s="10"/>
      <x:c r="N50" s="10" t="str">
        <x:f aca="0">IF(AND(H50&lt;&gt;"",M50&lt;&gt;""),(M50-H50)/H50,"")</x:f>
      </x:c>
      <x:c r="O50" s="10"/>
      <x:c r="P50" s="10"/>
      <x:c r="Q50" s="10"/>
      <x:c r="R50" s="10"/>
      <x:c r="S50" s="10"/>
      <x:c r="T50" s="10"/>
    </x:row>
    <x:row r="51" ht="15" hidden="0">
      <x:c r="A51" s="10" t="str">
        <x:f aca="0">IF(D51&lt;&gt;"",ROW()-3,"")</x:f>
      </x:c>
      <x:c r="B51" s="10"/>
      <x:c r="C51" s="10"/>
      <x:c r="D51" s="10"/>
      <x:c r="E51" s="10"/>
      <x:c r="F51" s="10"/>
      <x:c r="G51" s="10"/>
      <x:c r="H51" s="10"/>
      <x:c r="I51" s="10"/>
      <x:c r="J51" s="10"/>
      <x:c r="K51" s="10" t="str">
        <x:f aca="0">IF(AND(H51&lt;&gt;"",I51&lt;&gt;""),(I51-H51)/H51,"")</x:f>
      </x:c>
      <x:c r="L51" s="10"/>
      <x:c r="M51" s="10"/>
      <x:c r="N51" s="10" t="str">
        <x:f aca="0">IF(AND(H51&lt;&gt;"",M51&lt;&gt;""),(M51-H51)/H51,"")</x:f>
      </x:c>
      <x:c r="O51" s="10"/>
      <x:c r="P51" s="10"/>
      <x:c r="Q51" s="10"/>
      <x:c r="R51" s="10"/>
      <x:c r="S51" s="10"/>
      <x:c r="T51" s="10"/>
    </x:row>
    <x:row r="52" ht="15" hidden="0">
      <x:c r="A52" s="10" t="str">
        <x:f aca="0">IF(D52&lt;&gt;"",ROW()-3,"")</x:f>
      </x:c>
      <x:c r="B52" s="10"/>
      <x:c r="C52" s="10"/>
      <x:c r="D52" s="10"/>
      <x:c r="E52" s="10"/>
      <x:c r="F52" s="10"/>
      <x:c r="G52" s="10"/>
      <x:c r="H52" s="10"/>
      <x:c r="I52" s="10"/>
      <x:c r="J52" s="10"/>
      <x:c r="K52" s="10" t="str">
        <x:f aca="0">IF(AND(H52&lt;&gt;"",I52&lt;&gt;""),(I52-H52)/H52,"")</x:f>
      </x:c>
      <x:c r="L52" s="10"/>
      <x:c r="M52" s="10"/>
      <x:c r="N52" s="10" t="str">
        <x:f aca="0">IF(AND(H52&lt;&gt;"",M52&lt;&gt;""),(M52-H52)/H52,"")</x:f>
      </x:c>
      <x:c r="O52" s="10"/>
      <x:c r="P52" s="10"/>
      <x:c r="Q52" s="10"/>
      <x:c r="R52" s="10"/>
      <x:c r="S52" s="10"/>
      <x:c r="T52" s="10"/>
    </x:row>
    <x:row r="53" ht="15" hidden="0">
      <x:c r="A53" s="10" t="str">
        <x:f aca="0">IF(D53&lt;&gt;"",ROW()-3,"")</x:f>
      </x:c>
      <x:c r="B53" s="10"/>
      <x:c r="C53" s="10"/>
      <x:c r="D53" s="10"/>
      <x:c r="E53" s="10"/>
      <x:c r="F53" s="10"/>
      <x:c r="G53" s="10"/>
      <x:c r="H53" s="10"/>
      <x:c r="I53" s="10"/>
      <x:c r="J53" s="10"/>
      <x:c r="K53" s="10" t="str">
        <x:f aca="0">IF(AND(H53&lt;&gt;"",I53&lt;&gt;""),(I53-H53)/H53,"")</x:f>
      </x:c>
      <x:c r="L53" s="10"/>
      <x:c r="M53" s="10"/>
      <x:c r="N53" s="10" t="str">
        <x:f aca="0">IF(AND(H53&lt;&gt;"",M53&lt;&gt;""),(M53-H53)/H53,"")</x:f>
      </x:c>
      <x:c r="O53" s="10"/>
      <x:c r="P53" s="10"/>
      <x:c r="Q53" s="10"/>
      <x:c r="R53" s="10"/>
      <x:c r="S53" s="10"/>
      <x:c r="T53" s="10"/>
    </x:row>
    <x:row r="54" ht="15" hidden="0">
      <x:c r="A54" s="10" t="str">
        <x:f aca="0">IF(D54&lt;&gt;"",ROW()-3,"")</x:f>
      </x:c>
      <x:c r="B54" s="10"/>
      <x:c r="C54" s="10"/>
      <x:c r="D54" s="10"/>
      <x:c r="E54" s="10"/>
      <x:c r="F54" s="10"/>
      <x:c r="G54" s="10"/>
      <x:c r="H54" s="10"/>
      <x:c r="I54" s="10"/>
      <x:c r="J54" s="10"/>
      <x:c r="K54" s="10" t="str">
        <x:f aca="0">IF(AND(H54&lt;&gt;"",I54&lt;&gt;""),(I54-H54)/H54,"")</x:f>
      </x:c>
      <x:c r="L54" s="10"/>
      <x:c r="M54" s="10"/>
      <x:c r="N54" s="10" t="str">
        <x:f aca="0">IF(AND(H54&lt;&gt;"",M54&lt;&gt;""),(M54-H54)/H54,"")</x:f>
      </x:c>
      <x:c r="O54" s="10"/>
      <x:c r="P54" s="10"/>
      <x:c r="Q54" s="10"/>
      <x:c r="R54" s="10"/>
      <x:c r="S54" s="10"/>
      <x:c r="T54" s="10"/>
    </x:row>
    <x:row r="55" ht="15" hidden="0">
      <x:c r="A55" s="10" t="str">
        <x:f aca="0">IF(D55&lt;&gt;"",ROW()-3,"")</x:f>
      </x:c>
      <x:c r="B55" s="10"/>
      <x:c r="C55" s="10"/>
      <x:c r="D55" s="10"/>
      <x:c r="E55" s="10"/>
      <x:c r="F55" s="10"/>
      <x:c r="G55" s="10"/>
      <x:c r="H55" s="10"/>
      <x:c r="I55" s="10"/>
      <x:c r="J55" s="10"/>
      <x:c r="K55" s="10" t="str">
        <x:f aca="0">IF(AND(H55&lt;&gt;"",I55&lt;&gt;""),(I55-H55)/H55,"")</x:f>
      </x:c>
      <x:c r="L55" s="10"/>
      <x:c r="M55" s="10"/>
      <x:c r="N55" s="10" t="str">
        <x:f aca="0">IF(AND(H55&lt;&gt;"",M55&lt;&gt;""),(M55-H55)/H55,"")</x:f>
      </x:c>
      <x:c r="O55" s="10"/>
      <x:c r="P55" s="10"/>
      <x:c r="Q55" s="10"/>
      <x:c r="R55" s="10"/>
      <x:c r="S55" s="10"/>
      <x:c r="T55" s="10"/>
    </x:row>
    <x:row r="56" ht="15" hidden="0">
      <x:c r="A56" s="10" t="str">
        <x:f aca="0">IF(D56&lt;&gt;"",ROW()-3,"")</x:f>
      </x:c>
      <x:c r="B56" s="10"/>
      <x:c r="C56" s="10"/>
      <x:c r="D56" s="10"/>
      <x:c r="E56" s="10"/>
      <x:c r="F56" s="10"/>
      <x:c r="G56" s="10"/>
      <x:c r="H56" s="10"/>
      <x:c r="I56" s="10"/>
      <x:c r="J56" s="10"/>
      <x:c r="K56" s="10" t="str">
        <x:f aca="0">IF(AND(H56&lt;&gt;"",I56&lt;&gt;""),(I56-H56)/H56,"")</x:f>
      </x:c>
      <x:c r="L56" s="10"/>
      <x:c r="M56" s="10"/>
      <x:c r="N56" s="10" t="str">
        <x:f aca="0">IF(AND(H56&lt;&gt;"",M56&lt;&gt;""),(M56-H56)/H56,"")</x:f>
      </x:c>
      <x:c r="O56" s="10"/>
      <x:c r="P56" s="10"/>
      <x:c r="Q56" s="10"/>
      <x:c r="R56" s="10"/>
      <x:c r="S56" s="10"/>
      <x:c r="T56" s="10"/>
    </x:row>
    <x:row r="57" ht="15" hidden="0">
      <x:c r="A57" s="10" t="str">
        <x:f aca="0">IF(D57&lt;&gt;"",ROW()-3,"")</x:f>
      </x:c>
      <x:c r="B57" s="10"/>
      <x:c r="C57" s="10"/>
      <x:c r="D57" s="10"/>
      <x:c r="E57" s="10"/>
      <x:c r="F57" s="10"/>
      <x:c r="G57" s="10"/>
      <x:c r="H57" s="10"/>
      <x:c r="I57" s="10"/>
      <x:c r="J57" s="10"/>
      <x:c r="K57" s="10" t="str">
        <x:f aca="0">IF(AND(H57&lt;&gt;"",I57&lt;&gt;""),(I57-H57)/H57,"")</x:f>
      </x:c>
      <x:c r="L57" s="10"/>
      <x:c r="M57" s="10"/>
      <x:c r="N57" s="10" t="str">
        <x:f aca="0">IF(AND(H57&lt;&gt;"",M57&lt;&gt;""),(M57-H57)/H57,"")</x:f>
      </x:c>
      <x:c r="O57" s="10"/>
      <x:c r="P57" s="10"/>
      <x:c r="Q57" s="10"/>
      <x:c r="R57" s="10"/>
      <x:c r="S57" s="10"/>
      <x:c r="T57" s="10"/>
    </x:row>
    <x:row r="58" ht="15" hidden="0">
      <x:c r="A58" s="10" t="str">
        <x:f aca="0">IF(D58&lt;&gt;"",ROW()-3,"")</x:f>
      </x:c>
      <x:c r="B58" s="10"/>
      <x:c r="C58" s="10"/>
      <x:c r="D58" s="10"/>
      <x:c r="E58" s="10"/>
      <x:c r="F58" s="10"/>
      <x:c r="G58" s="10"/>
      <x:c r="H58" s="10"/>
      <x:c r="I58" s="10"/>
      <x:c r="J58" s="10"/>
      <x:c r="K58" s="10" t="str">
        <x:f aca="0">IF(AND(H58&lt;&gt;"",I58&lt;&gt;""),(I58-H58)/H58,"")</x:f>
      </x:c>
      <x:c r="L58" s="10"/>
      <x:c r="M58" s="10"/>
      <x:c r="N58" s="10" t="str">
        <x:f aca="0">IF(AND(H58&lt;&gt;"",M58&lt;&gt;""),(M58-H58)/H58,"")</x:f>
      </x:c>
      <x:c r="O58" s="10"/>
      <x:c r="P58" s="10"/>
      <x:c r="Q58" s="10"/>
      <x:c r="R58" s="10"/>
      <x:c r="S58" s="10"/>
      <x:c r="T58" s="10"/>
    </x:row>
    <x:row r="59" ht="15" hidden="0">
      <x:c r="A59" s="10" t="str">
        <x:f aca="0">IF(D59&lt;&gt;"",ROW()-3,"")</x:f>
      </x:c>
      <x:c r="B59" s="10"/>
      <x:c r="C59" s="10"/>
      <x:c r="D59" s="10"/>
      <x:c r="E59" s="10"/>
      <x:c r="F59" s="10"/>
      <x:c r="G59" s="10"/>
      <x:c r="H59" s="10"/>
      <x:c r="I59" s="10"/>
      <x:c r="J59" s="10"/>
      <x:c r="K59" s="10" t="str">
        <x:f aca="0">IF(AND(H59&lt;&gt;"",I59&lt;&gt;""),(I59-H59)/H59,"")</x:f>
      </x:c>
      <x:c r="L59" s="10"/>
      <x:c r="M59" s="10"/>
      <x:c r="N59" s="10" t="str">
        <x:f aca="0">IF(AND(H59&lt;&gt;"",M59&lt;&gt;""),(M59-H59)/H59,"")</x:f>
      </x:c>
      <x:c r="O59" s="10"/>
      <x:c r="P59" s="10"/>
      <x:c r="Q59" s="10"/>
      <x:c r="R59" s="10"/>
      <x:c r="S59" s="10"/>
      <x:c r="T59" s="10"/>
    </x:row>
    <x:row r="60" ht="15" hidden="0">
      <x:c r="A60" s="10" t="str">
        <x:f aca="0">IF(D60&lt;&gt;"",ROW()-3,"")</x:f>
      </x:c>
      <x:c r="B60" s="10"/>
      <x:c r="C60" s="10"/>
      <x:c r="D60" s="10"/>
      <x:c r="E60" s="10"/>
      <x:c r="F60" s="10"/>
      <x:c r="G60" s="10"/>
      <x:c r="H60" s="10"/>
      <x:c r="I60" s="10"/>
      <x:c r="J60" s="10"/>
      <x:c r="K60" s="10" t="str">
        <x:f aca="0">IF(AND(H60&lt;&gt;"",I60&lt;&gt;""),(I60-H60)/H60,"")</x:f>
      </x:c>
      <x:c r="L60" s="10"/>
      <x:c r="M60" s="10"/>
      <x:c r="N60" s="10" t="str">
        <x:f aca="0">IF(AND(H60&lt;&gt;"",M60&lt;&gt;""),(M60-H60)/H60,"")</x:f>
      </x:c>
      <x:c r="O60" s="10"/>
      <x:c r="P60" s="10"/>
      <x:c r="Q60" s="10"/>
      <x:c r="R60" s="10"/>
      <x:c r="S60" s="10"/>
      <x:c r="T60" s="10"/>
    </x:row>
    <x:row r="61" ht="15" hidden="0">
      <x:c r="A61" s="10" t="str">
        <x:f aca="0">IF(D61&lt;&gt;"",ROW()-3,"")</x:f>
      </x:c>
      <x:c r="B61" s="10"/>
      <x:c r="C61" s="10"/>
      <x:c r="D61" s="10"/>
      <x:c r="E61" s="10"/>
      <x:c r="F61" s="10"/>
      <x:c r="G61" s="10"/>
      <x:c r="H61" s="10"/>
      <x:c r="I61" s="10"/>
      <x:c r="J61" s="10"/>
      <x:c r="K61" s="10" t="str">
        <x:f aca="0">IF(AND(H61&lt;&gt;"",I61&lt;&gt;""),(I61-H61)/H61,"")</x:f>
      </x:c>
      <x:c r="L61" s="10"/>
      <x:c r="M61" s="10"/>
      <x:c r="N61" s="10" t="str">
        <x:f aca="0">IF(AND(H61&lt;&gt;"",M61&lt;&gt;""),(M61-H61)/H61,"")</x:f>
      </x:c>
      <x:c r="O61" s="10"/>
      <x:c r="P61" s="10"/>
      <x:c r="Q61" s="10"/>
      <x:c r="R61" s="10"/>
      <x:c r="S61" s="10"/>
      <x:c r="T61" s="10"/>
    </x:row>
    <x:row r="62" ht="15" hidden="0">
      <x:c r="A62" s="10" t="str">
        <x:f aca="0">IF(D62&lt;&gt;"",ROW()-3,"")</x:f>
      </x:c>
      <x:c r="B62" s="10"/>
      <x:c r="C62" s="10"/>
      <x:c r="D62" s="10"/>
      <x:c r="E62" s="10"/>
      <x:c r="F62" s="10"/>
      <x:c r="G62" s="10"/>
      <x:c r="H62" s="10"/>
      <x:c r="I62" s="10"/>
      <x:c r="J62" s="10"/>
      <x:c r="K62" s="10" t="str">
        <x:f aca="0">IF(AND(H62&lt;&gt;"",I62&lt;&gt;""),(I62-H62)/H62,"")</x:f>
      </x:c>
      <x:c r="L62" s="10"/>
      <x:c r="M62" s="10"/>
      <x:c r="N62" s="10" t="str">
        <x:f aca="0">IF(AND(H62&lt;&gt;"",M62&lt;&gt;""),(M62-H62)/H62,"")</x:f>
      </x:c>
      <x:c r="O62" s="10"/>
      <x:c r="P62" s="10"/>
      <x:c r="Q62" s="10"/>
      <x:c r="R62" s="10"/>
      <x:c r="S62" s="10"/>
      <x:c r="T62" s="10"/>
    </x:row>
    <x:row r="63" ht="15" hidden="0">
      <x:c r="A63" s="10" t="str">
        <x:f aca="0">IF(D63&lt;&gt;"",ROW()-3,"")</x:f>
      </x:c>
      <x:c r="B63" s="10"/>
      <x:c r="C63" s="10"/>
      <x:c r="D63" s="10"/>
      <x:c r="E63" s="10"/>
      <x:c r="F63" s="10"/>
      <x:c r="G63" s="10"/>
      <x:c r="H63" s="10"/>
      <x:c r="I63" s="10"/>
      <x:c r="J63" s="10"/>
      <x:c r="K63" s="10" t="str">
        <x:f aca="0">IF(AND(H63&lt;&gt;"",I63&lt;&gt;""),(I63-H63)/H63,"")</x:f>
      </x:c>
      <x:c r="L63" s="10"/>
      <x:c r="M63" s="10"/>
      <x:c r="N63" s="10" t="str">
        <x:f aca="0">IF(AND(H63&lt;&gt;"",M63&lt;&gt;""),(M63-H63)/H63,"")</x:f>
      </x:c>
      <x:c r="O63" s="10"/>
      <x:c r="P63" s="10"/>
      <x:c r="Q63" s="10"/>
      <x:c r="R63" s="10"/>
      <x:c r="S63" s="10"/>
      <x:c r="T63" s="10"/>
    </x:row>
    <x:row r="64" ht="15" hidden="0">
      <x:c r="A64" s="10" t="str">
        <x:f aca="0">IF(D64&lt;&gt;"",ROW()-3,"")</x:f>
      </x:c>
      <x:c r="B64" s="10"/>
      <x:c r="C64" s="10"/>
      <x:c r="D64" s="10"/>
      <x:c r="E64" s="10"/>
      <x:c r="F64" s="10"/>
      <x:c r="G64" s="10"/>
      <x:c r="H64" s="10"/>
      <x:c r="I64" s="10"/>
      <x:c r="J64" s="10"/>
      <x:c r="K64" s="10" t="str">
        <x:f aca="0">IF(AND(H64&lt;&gt;"",I64&lt;&gt;""),(I64-H64)/H64,"")</x:f>
      </x:c>
      <x:c r="L64" s="10"/>
      <x:c r="M64" s="10"/>
      <x:c r="N64" s="10" t="str">
        <x:f aca="0">IF(AND(H64&lt;&gt;"",M64&lt;&gt;""),(M64-H64)/H64,"")</x:f>
      </x:c>
      <x:c r="O64" s="10"/>
      <x:c r="P64" s="10"/>
      <x:c r="Q64" s="10"/>
      <x:c r="R64" s="10"/>
      <x:c r="S64" s="10"/>
      <x:c r="T64" s="10"/>
    </x:row>
    <x:row r="65" ht="15" hidden="0">
      <x:c r="A65" s="10" t="str">
        <x:f aca="0">IF(D65&lt;&gt;"",ROW()-3,"")</x:f>
      </x:c>
      <x:c r="B65" s="10"/>
      <x:c r="C65" s="10"/>
      <x:c r="D65" s="10"/>
      <x:c r="E65" s="10"/>
      <x:c r="F65" s="10"/>
      <x:c r="G65" s="10"/>
      <x:c r="H65" s="10"/>
      <x:c r="I65" s="10"/>
      <x:c r="J65" s="10"/>
      <x:c r="K65" s="10" t="str">
        <x:f aca="0">IF(AND(H65&lt;&gt;"",I65&lt;&gt;""),(I65-H65)/H65,"")</x:f>
      </x:c>
      <x:c r="L65" s="10"/>
      <x:c r="M65" s="10"/>
      <x:c r="N65" s="10" t="str">
        <x:f aca="0">IF(AND(H65&lt;&gt;"",M65&lt;&gt;""),(M65-H65)/H65,"")</x:f>
      </x:c>
      <x:c r="O65" s="10"/>
      <x:c r="P65" s="10"/>
      <x:c r="Q65" s="10"/>
      <x:c r="R65" s="10"/>
      <x:c r="S65" s="10"/>
      <x:c r="T65" s="10"/>
    </x:row>
    <x:row r="66" ht="15" hidden="0">
      <x:c r="A66" s="10" t="str">
        <x:f aca="0">IF(D66&lt;&gt;"",ROW()-3,"")</x:f>
      </x:c>
      <x:c r="B66" s="10"/>
      <x:c r="C66" s="10"/>
      <x:c r="D66" s="10"/>
      <x:c r="E66" s="10"/>
      <x:c r="F66" s="10"/>
      <x:c r="G66" s="10"/>
      <x:c r="H66" s="10"/>
      <x:c r="I66" s="10"/>
      <x:c r="J66" s="10"/>
      <x:c r="K66" s="10" t="str">
        <x:f aca="0">IF(AND(H66&lt;&gt;"",I66&lt;&gt;""),(I66-H66)/H66,"")</x:f>
      </x:c>
      <x:c r="L66" s="10"/>
      <x:c r="M66" s="10"/>
      <x:c r="N66" s="10" t="str">
        <x:f aca="0">IF(AND(H66&lt;&gt;"",M66&lt;&gt;""),(M66-H66)/H66,"")</x:f>
      </x:c>
      <x:c r="O66" s="10"/>
      <x:c r="P66" s="10"/>
      <x:c r="Q66" s="10"/>
      <x:c r="R66" s="10"/>
      <x:c r="S66" s="10"/>
      <x:c r="T66" s="10"/>
    </x:row>
    <x:row r="67" ht="15" hidden="0">
      <x:c r="A67" s="10" t="str">
        <x:f aca="0">IF(D67&lt;&gt;"",ROW()-3,"")</x:f>
      </x:c>
      <x:c r="B67" s="10"/>
      <x:c r="C67" s="10"/>
      <x:c r="D67" s="10"/>
      <x:c r="E67" s="10"/>
      <x:c r="F67" s="10"/>
      <x:c r="G67" s="10"/>
      <x:c r="H67" s="10"/>
      <x:c r="I67" s="10"/>
      <x:c r="J67" s="10"/>
      <x:c r="K67" s="10" t="str">
        <x:f aca="0">IF(AND(H67&lt;&gt;"",I67&lt;&gt;""),(I67-H67)/H67,"")</x:f>
      </x:c>
      <x:c r="L67" s="10"/>
      <x:c r="M67" s="10"/>
      <x:c r="N67" s="10" t="str">
        <x:f aca="0">IF(AND(H67&lt;&gt;"",M67&lt;&gt;""),(M67-H67)/H67,"")</x:f>
      </x:c>
      <x:c r="O67" s="10"/>
      <x:c r="P67" s="10"/>
      <x:c r="Q67" s="10"/>
      <x:c r="R67" s="10"/>
      <x:c r="S67" s="10"/>
      <x:c r="T67" s="10"/>
    </x:row>
    <x:row r="68" ht="15" hidden="0">
      <x:c r="A68" s="10" t="str">
        <x:f aca="0">IF(D68&lt;&gt;"",ROW()-3,"")</x:f>
      </x:c>
      <x:c r="B68" s="10"/>
      <x:c r="C68" s="10"/>
      <x:c r="D68" s="10"/>
      <x:c r="E68" s="10"/>
      <x:c r="F68" s="10"/>
      <x:c r="G68" s="10"/>
      <x:c r="H68" s="10"/>
      <x:c r="I68" s="10"/>
      <x:c r="J68" s="10"/>
      <x:c r="K68" s="10" t="str">
        <x:f aca="0">IF(AND(H68&lt;&gt;"",I68&lt;&gt;""),(I68-H68)/H68,"")</x:f>
      </x:c>
      <x:c r="L68" s="10"/>
      <x:c r="M68" s="10"/>
      <x:c r="N68" s="10" t="str">
        <x:f aca="0">IF(AND(H68&lt;&gt;"",M68&lt;&gt;""),(M68-H68)/H68,"")</x:f>
      </x:c>
      <x:c r="O68" s="10"/>
      <x:c r="P68" s="10"/>
      <x:c r="Q68" s="10"/>
      <x:c r="R68" s="10"/>
      <x:c r="S68" s="10"/>
      <x:c r="T68" s="10"/>
    </x:row>
    <x:row r="69" ht="15" hidden="0">
      <x:c r="A69" s="10" t="str">
        <x:f aca="0">IF(D69&lt;&gt;"",ROW()-3,"")</x:f>
      </x:c>
      <x:c r="B69" s="10"/>
      <x:c r="C69" s="10"/>
      <x:c r="D69" s="10"/>
      <x:c r="E69" s="10"/>
      <x:c r="F69" s="10"/>
      <x:c r="G69" s="10"/>
      <x:c r="H69" s="10"/>
      <x:c r="I69" s="10"/>
      <x:c r="J69" s="10"/>
      <x:c r="K69" s="10" t="str">
        <x:f aca="0">IF(AND(H69&lt;&gt;"",I69&lt;&gt;""),(I69-H69)/H69,"")</x:f>
      </x:c>
      <x:c r="L69" s="10"/>
      <x:c r="M69" s="10"/>
      <x:c r="N69" s="10" t="str">
        <x:f aca="0">IF(AND(H69&lt;&gt;"",M69&lt;&gt;""),(M69-H69)/H69,"")</x:f>
      </x:c>
      <x:c r="O69" s="10"/>
      <x:c r="P69" s="10"/>
      <x:c r="Q69" s="10"/>
      <x:c r="R69" s="10"/>
      <x:c r="S69" s="10"/>
      <x:c r="T69" s="10"/>
    </x:row>
    <x:row r="70" ht="15" hidden="0">
      <x:c r="A70" s="10" t="str">
        <x:f aca="0">IF(D70&lt;&gt;"",ROW()-3,"")</x:f>
      </x:c>
      <x:c r="B70" s="10"/>
      <x:c r="C70" s="10"/>
      <x:c r="D70" s="10"/>
      <x:c r="E70" s="10"/>
      <x:c r="F70" s="10"/>
      <x:c r="G70" s="10"/>
      <x:c r="H70" s="10"/>
      <x:c r="I70" s="10"/>
      <x:c r="J70" s="10"/>
      <x:c r="K70" s="10" t="str">
        <x:f aca="0">IF(AND(H70&lt;&gt;"",I70&lt;&gt;""),(I70-H70)/H70,"")</x:f>
      </x:c>
      <x:c r="L70" s="10"/>
      <x:c r="M70" s="10"/>
      <x:c r="N70" s="10" t="str">
        <x:f aca="0">IF(AND(H70&lt;&gt;"",M70&lt;&gt;""),(M70-H70)/H70,"")</x:f>
      </x:c>
      <x:c r="O70" s="10"/>
      <x:c r="P70" s="10"/>
      <x:c r="Q70" s="10"/>
      <x:c r="R70" s="10"/>
      <x:c r="S70" s="10"/>
      <x:c r="T70" s="10"/>
    </x:row>
    <x:row r="71" ht="15" hidden="0">
      <x:c r="A71" s="10" t="str">
        <x:f aca="0">IF(D71&lt;&gt;"",ROW()-3,"")</x:f>
      </x:c>
      <x:c r="B71" s="10"/>
      <x:c r="C71" s="10"/>
      <x:c r="D71" s="10"/>
      <x:c r="E71" s="10"/>
      <x:c r="F71" s="10"/>
      <x:c r="G71" s="10"/>
      <x:c r="H71" s="10"/>
      <x:c r="I71" s="10"/>
      <x:c r="J71" s="10"/>
      <x:c r="K71" s="10" t="str">
        <x:f aca="0">IF(AND(H71&lt;&gt;"",I71&lt;&gt;""),(I71-H71)/H71,"")</x:f>
      </x:c>
      <x:c r="L71" s="10"/>
      <x:c r="M71" s="10"/>
      <x:c r="N71" s="10" t="str">
        <x:f aca="0">IF(AND(H71&lt;&gt;"",M71&lt;&gt;""),(M71-H71)/H71,"")</x:f>
      </x:c>
      <x:c r="O71" s="10"/>
      <x:c r="P71" s="10"/>
      <x:c r="Q71" s="10"/>
      <x:c r="R71" s="10"/>
      <x:c r="S71" s="10"/>
      <x:c r="T71" s="10"/>
    </x:row>
    <x:row r="72" ht="15" hidden="0">
      <x:c r="A72" s="10" t="str">
        <x:f aca="0">IF(D72&lt;&gt;"",ROW()-3,"")</x:f>
      </x:c>
      <x:c r="B72" s="10"/>
      <x:c r="C72" s="10"/>
      <x:c r="D72" s="10"/>
      <x:c r="E72" s="10"/>
      <x:c r="F72" s="10"/>
      <x:c r="G72" s="10"/>
      <x:c r="H72" s="10"/>
      <x:c r="I72" s="10"/>
      <x:c r="J72" s="10"/>
      <x:c r="K72" s="10" t="str">
        <x:f aca="0">IF(AND(H72&lt;&gt;"",I72&lt;&gt;""),(I72-H72)/H72,"")</x:f>
      </x:c>
      <x:c r="L72" s="10"/>
      <x:c r="M72" s="10"/>
      <x:c r="N72" s="10" t="str">
        <x:f aca="0">IF(AND(H72&lt;&gt;"",M72&lt;&gt;""),(M72-H72)/H72,"")</x:f>
      </x:c>
      <x:c r="O72" s="10"/>
      <x:c r="P72" s="10"/>
      <x:c r="Q72" s="10"/>
      <x:c r="R72" s="10"/>
      <x:c r="S72" s="10"/>
      <x:c r="T72" s="10"/>
    </x:row>
    <x:row r="73" ht="15" hidden="0">
      <x:c r="A73" s="10" t="str">
        <x:f aca="0">IF(D73&lt;&gt;"",ROW()-3,"")</x:f>
      </x:c>
      <x:c r="B73" s="10"/>
      <x:c r="C73" s="10"/>
      <x:c r="D73" s="10"/>
      <x:c r="E73" s="10"/>
      <x:c r="F73" s="10"/>
      <x:c r="G73" s="10"/>
      <x:c r="H73" s="10"/>
      <x:c r="I73" s="10"/>
      <x:c r="J73" s="10"/>
      <x:c r="K73" s="10" t="str">
        <x:f aca="0">IF(AND(H73&lt;&gt;"",I73&lt;&gt;""),(I73-H73)/H73,"")</x:f>
      </x:c>
      <x:c r="L73" s="10"/>
      <x:c r="M73" s="10"/>
      <x:c r="N73" s="10" t="str">
        <x:f aca="0">IF(AND(H73&lt;&gt;"",M73&lt;&gt;""),(M73-H73)/H73,"")</x:f>
      </x:c>
      <x:c r="O73" s="10"/>
      <x:c r="P73" s="10"/>
      <x:c r="Q73" s="10"/>
      <x:c r="R73" s="10"/>
      <x:c r="S73" s="10"/>
      <x:c r="T73" s="10"/>
    </x:row>
    <x:row r="74" ht="15" hidden="0">
      <x:c r="A74" s="10" t="str">
        <x:f aca="0">IF(D74&lt;&gt;"",ROW()-3,"")</x:f>
      </x:c>
      <x:c r="B74" s="10"/>
      <x:c r="C74" s="10"/>
      <x:c r="D74" s="10"/>
      <x:c r="E74" s="10"/>
      <x:c r="F74" s="10"/>
      <x:c r="G74" s="10"/>
      <x:c r="H74" s="10"/>
      <x:c r="I74" s="10"/>
      <x:c r="J74" s="10"/>
      <x:c r="K74" s="10" t="str">
        <x:f aca="0">IF(AND(H74&lt;&gt;"",I74&lt;&gt;""),(I74-H74)/H74,"")</x:f>
      </x:c>
      <x:c r="L74" s="10"/>
      <x:c r="M74" s="10"/>
      <x:c r="N74" s="10" t="str">
        <x:f aca="0">IF(AND(H74&lt;&gt;"",M74&lt;&gt;""),(M74-H74)/H74,"")</x:f>
      </x:c>
      <x:c r="O74" s="10"/>
      <x:c r="P74" s="10"/>
      <x:c r="Q74" s="10"/>
      <x:c r="R74" s="10"/>
      <x:c r="S74" s="10"/>
      <x:c r="T74" s="10"/>
    </x:row>
    <x:row r="75" ht="15" hidden="0">
      <x:c r="A75" s="10" t="str">
        <x:f aca="0">IF(D75&lt;&gt;"",ROW()-3,"")</x:f>
      </x:c>
      <x:c r="B75" s="10"/>
      <x:c r="C75" s="10"/>
      <x:c r="D75" s="10"/>
      <x:c r="E75" s="10"/>
      <x:c r="F75" s="10"/>
      <x:c r="G75" s="10"/>
      <x:c r="H75" s="10"/>
      <x:c r="I75" s="10"/>
      <x:c r="J75" s="10"/>
      <x:c r="K75" s="10" t="str">
        <x:f aca="0">IF(AND(H75&lt;&gt;"",I75&lt;&gt;""),(I75-H75)/H75,"")</x:f>
      </x:c>
      <x:c r="L75" s="10"/>
      <x:c r="M75" s="10"/>
      <x:c r="N75" s="10" t="str">
        <x:f aca="0">IF(AND(H75&lt;&gt;"",M75&lt;&gt;""),(M75-H75)/H75,"")</x:f>
      </x:c>
      <x:c r="O75" s="10"/>
      <x:c r="P75" s="10"/>
      <x:c r="Q75" s="10"/>
      <x:c r="R75" s="10"/>
      <x:c r="S75" s="10"/>
      <x:c r="T75" s="10"/>
    </x:row>
    <x:row r="76" ht="15" hidden="0">
      <x:c r="A76" s="10" t="str">
        <x:f aca="0">IF(D76&lt;&gt;"",ROW()-3,"")</x:f>
      </x:c>
      <x:c r="B76" s="10"/>
      <x:c r="C76" s="10"/>
      <x:c r="D76" s="10"/>
      <x:c r="E76" s="10"/>
      <x:c r="F76" s="10"/>
      <x:c r="G76" s="10"/>
      <x:c r="H76" s="10"/>
      <x:c r="I76" s="10"/>
      <x:c r="J76" s="10"/>
      <x:c r="K76" s="10" t="str">
        <x:f aca="0">IF(AND(H76&lt;&gt;"",I76&lt;&gt;""),(I76-H76)/H76,"")</x:f>
      </x:c>
      <x:c r="L76" s="10"/>
      <x:c r="M76" s="10"/>
      <x:c r="N76" s="10" t="str">
        <x:f aca="0">IF(AND(H76&lt;&gt;"",M76&lt;&gt;""),(M76-H76)/H76,"")</x:f>
      </x:c>
      <x:c r="O76" s="10"/>
      <x:c r="P76" s="10"/>
      <x:c r="Q76" s="10"/>
      <x:c r="R76" s="10"/>
      <x:c r="S76" s="10"/>
      <x:c r="T76" s="10"/>
    </x:row>
    <x:row r="77" ht="15" hidden="0">
      <x:c r="A77" s="10" t="str">
        <x:f aca="0">IF(D77&lt;&gt;"",ROW()-3,"")</x:f>
      </x:c>
      <x:c r="B77" s="10"/>
      <x:c r="C77" s="10"/>
      <x:c r="D77" s="10"/>
      <x:c r="E77" s="10"/>
      <x:c r="F77" s="10"/>
      <x:c r="G77" s="10"/>
      <x:c r="H77" s="10"/>
      <x:c r="I77" s="10"/>
      <x:c r="J77" s="10"/>
      <x:c r="K77" s="10" t="str">
        <x:f aca="0">IF(AND(H77&lt;&gt;"",I77&lt;&gt;""),(I77-H77)/H77,"")</x:f>
      </x:c>
      <x:c r="L77" s="10"/>
      <x:c r="M77" s="10"/>
      <x:c r="N77" s="10" t="str">
        <x:f aca="0">IF(AND(H77&lt;&gt;"",M77&lt;&gt;""),(M77-H77)/H77,"")</x:f>
      </x:c>
      <x:c r="O77" s="10"/>
      <x:c r="P77" s="10"/>
      <x:c r="Q77" s="10"/>
      <x:c r="R77" s="10"/>
      <x:c r="S77" s="10"/>
      <x:c r="T77" s="10"/>
    </x:row>
    <x:row r="78" ht="15" hidden="0">
      <x:c r="A78" s="10" t="str">
        <x:f aca="0">IF(D78&lt;&gt;"",ROW()-3,"")</x:f>
      </x:c>
      <x:c r="B78" s="10"/>
      <x:c r="C78" s="10"/>
      <x:c r="D78" s="10"/>
      <x:c r="E78" s="10"/>
      <x:c r="F78" s="10"/>
      <x:c r="G78" s="10"/>
      <x:c r="H78" s="10"/>
      <x:c r="I78" s="10"/>
      <x:c r="J78" s="10"/>
      <x:c r="K78" s="10" t="str">
        <x:f aca="0">IF(AND(H78&lt;&gt;"",I78&lt;&gt;""),(I78-H78)/H78,"")</x:f>
      </x:c>
      <x:c r="L78" s="10"/>
      <x:c r="M78" s="10"/>
      <x:c r="N78" s="10" t="str">
        <x:f aca="0">IF(AND(H78&lt;&gt;"",M78&lt;&gt;""),(M78-H78)/H78,"")</x:f>
      </x:c>
      <x:c r="O78" s="10"/>
      <x:c r="P78" s="10"/>
      <x:c r="Q78" s="10"/>
      <x:c r="R78" s="10"/>
      <x:c r="S78" s="10"/>
      <x:c r="T78" s="10"/>
    </x:row>
    <x:row r="79" ht="15" hidden="0">
      <x:c r="A79" s="10" t="str">
        <x:f aca="0">IF(D79&lt;&gt;"",ROW()-3,"")</x:f>
      </x:c>
      <x:c r="B79" s="10"/>
      <x:c r="C79" s="10"/>
      <x:c r="D79" s="10"/>
      <x:c r="E79" s="10"/>
      <x:c r="F79" s="10"/>
      <x:c r="G79" s="10"/>
      <x:c r="H79" s="10"/>
      <x:c r="I79" s="10"/>
      <x:c r="J79" s="10"/>
      <x:c r="K79" s="10" t="str">
        <x:f aca="0">IF(AND(H79&lt;&gt;"",I79&lt;&gt;""),(I79-H79)/H79,"")</x:f>
      </x:c>
      <x:c r="L79" s="10"/>
      <x:c r="M79" s="10"/>
      <x:c r="N79" s="10" t="str">
        <x:f aca="0">IF(AND(H79&lt;&gt;"",M79&lt;&gt;""),(M79-H79)/H79,"")</x:f>
      </x:c>
      <x:c r="O79" s="10"/>
      <x:c r="P79" s="10"/>
      <x:c r="Q79" s="10"/>
      <x:c r="R79" s="10"/>
      <x:c r="S79" s="10"/>
      <x:c r="T79" s="10"/>
    </x:row>
    <x:row r="80" ht="15" hidden="0">
      <x:c r="A80" s="10" t="str">
        <x:f aca="0">IF(D80&lt;&gt;"",ROW()-3,"")</x:f>
      </x:c>
      <x:c r="B80" s="10"/>
      <x:c r="C80" s="10"/>
      <x:c r="D80" s="10"/>
      <x:c r="E80" s="10"/>
      <x:c r="F80" s="10"/>
      <x:c r="G80" s="10"/>
      <x:c r="H80" s="10"/>
      <x:c r="I80" s="10"/>
      <x:c r="J80" s="10"/>
      <x:c r="K80" s="10" t="str">
        <x:f aca="0">IF(AND(H80&lt;&gt;"",I80&lt;&gt;""),(I80-H80)/H80,"")</x:f>
      </x:c>
      <x:c r="L80" s="10"/>
      <x:c r="M80" s="10"/>
      <x:c r="N80" s="10" t="str">
        <x:f aca="0">IF(AND(H80&lt;&gt;"",M80&lt;&gt;""),(M80-H80)/H80,"")</x:f>
      </x:c>
      <x:c r="O80" s="10"/>
      <x:c r="P80" s="10"/>
      <x:c r="Q80" s="10"/>
      <x:c r="R80" s="10"/>
      <x:c r="S80" s="10"/>
      <x:c r="T80" s="10"/>
    </x:row>
    <x:row r="81" ht="15" hidden="0">
      <x:c r="A81" s="10" t="str">
        <x:f aca="0">IF(D81&lt;&gt;"",ROW()-3,"")</x:f>
      </x:c>
      <x:c r="B81" s="10"/>
      <x:c r="C81" s="10"/>
      <x:c r="D81" s="10"/>
      <x:c r="E81" s="10"/>
      <x:c r="F81" s="10"/>
      <x:c r="G81" s="10"/>
      <x:c r="H81" s="10"/>
      <x:c r="I81" s="10"/>
      <x:c r="J81" s="10"/>
      <x:c r="K81" s="10" t="str">
        <x:f aca="0">IF(AND(H81&lt;&gt;"",I81&lt;&gt;""),(I81-H81)/H81,"")</x:f>
      </x:c>
      <x:c r="L81" s="10"/>
      <x:c r="M81" s="10"/>
      <x:c r="N81" s="10" t="str">
        <x:f aca="0">IF(AND(H81&lt;&gt;"",M81&lt;&gt;""),(M81-H81)/H81,"")</x:f>
      </x:c>
      <x:c r="O81" s="10"/>
      <x:c r="P81" s="10"/>
      <x:c r="Q81" s="10"/>
      <x:c r="R81" s="10"/>
      <x:c r="S81" s="10"/>
      <x:c r="T81" s="10"/>
    </x:row>
    <x:row r="82" ht="15" hidden="0">
      <x:c r="A82" s="10" t="str">
        <x:f aca="0">IF(D82&lt;&gt;"",ROW()-3,"")</x:f>
      </x:c>
      <x:c r="B82" s="10"/>
      <x:c r="C82" s="10"/>
      <x:c r="D82" s="10"/>
      <x:c r="E82" s="10"/>
      <x:c r="F82" s="10"/>
      <x:c r="G82" s="10"/>
      <x:c r="H82" s="10"/>
      <x:c r="I82" s="10"/>
      <x:c r="J82" s="10"/>
      <x:c r="K82" s="10" t="str">
        <x:f aca="0">IF(AND(H82&lt;&gt;"",I82&lt;&gt;""),(I82-H82)/H82,"")</x:f>
      </x:c>
      <x:c r="L82" s="10"/>
      <x:c r="M82" s="10"/>
      <x:c r="N82" s="10" t="str">
        <x:f aca="0">IF(AND(H82&lt;&gt;"",M82&lt;&gt;""),(M82-H82)/H82,"")</x:f>
      </x:c>
      <x:c r="O82" s="10"/>
      <x:c r="P82" s="10"/>
      <x:c r="Q82" s="10"/>
      <x:c r="R82" s="10"/>
      <x:c r="S82" s="10"/>
      <x:c r="T82" s="10"/>
    </x:row>
    <x:row r="83" ht="15" hidden="0">
      <x:c r="A83" s="10" t="str">
        <x:f aca="0">IF(D83&lt;&gt;"",ROW()-3,"")</x:f>
      </x:c>
      <x:c r="B83" s="10"/>
      <x:c r="C83" s="10"/>
      <x:c r="D83" s="10"/>
      <x:c r="E83" s="10"/>
      <x:c r="F83" s="10"/>
      <x:c r="G83" s="10"/>
      <x:c r="H83" s="10"/>
      <x:c r="I83" s="10"/>
      <x:c r="J83" s="10"/>
      <x:c r="K83" s="10" t="str">
        <x:f aca="0">IF(AND(H83&lt;&gt;"",I83&lt;&gt;""),(I83-H83)/H83,"")</x:f>
      </x:c>
      <x:c r="L83" s="10"/>
      <x:c r="M83" s="10"/>
      <x:c r="N83" s="10" t="str">
        <x:f aca="0">IF(AND(H83&lt;&gt;"",M83&lt;&gt;""),(M83-H83)/H83,"")</x:f>
      </x:c>
      <x:c r="O83" s="10"/>
      <x:c r="P83" s="10"/>
      <x:c r="Q83" s="10"/>
      <x:c r="R83" s="10"/>
      <x:c r="S83" s="10"/>
      <x:c r="T83" s="10"/>
    </x:row>
    <x:row r="84" ht="15" hidden="0">
      <x:c r="A84" s="10" t="str">
        <x:f aca="0">IF(D84&lt;&gt;"",ROW()-3,"")</x:f>
      </x:c>
      <x:c r="B84" s="10"/>
      <x:c r="C84" s="10"/>
      <x:c r="D84" s="10"/>
      <x:c r="E84" s="10"/>
      <x:c r="F84" s="10"/>
      <x:c r="G84" s="10"/>
      <x:c r="H84" s="10"/>
      <x:c r="I84" s="10"/>
      <x:c r="J84" s="10"/>
      <x:c r="K84" s="10" t="str">
        <x:f aca="0">IF(AND(H84&lt;&gt;"",I84&lt;&gt;""),(I84-H84)/H84,"")</x:f>
      </x:c>
      <x:c r="L84" s="10"/>
      <x:c r="M84" s="10"/>
      <x:c r="N84" s="10" t="str">
        <x:f aca="0">IF(AND(H84&lt;&gt;"",M84&lt;&gt;""),(M84-H84)/H84,"")</x:f>
      </x:c>
      <x:c r="O84" s="10"/>
      <x:c r="P84" s="10"/>
      <x:c r="Q84" s="10"/>
      <x:c r="R84" s="10"/>
      <x:c r="S84" s="10"/>
      <x:c r="T84" s="10"/>
    </x:row>
    <x:row r="85" ht="15" hidden="0">
      <x:c r="A85" s="10" t="str">
        <x:f aca="0">IF(D85&lt;&gt;"",ROW()-3,"")</x:f>
      </x:c>
      <x:c r="B85" s="10"/>
      <x:c r="C85" s="10"/>
      <x:c r="D85" s="10"/>
      <x:c r="E85" s="10"/>
      <x:c r="F85" s="10"/>
      <x:c r="G85" s="10"/>
      <x:c r="H85" s="10"/>
      <x:c r="I85" s="10"/>
      <x:c r="J85" s="10"/>
      <x:c r="K85" s="10" t="str">
        <x:f aca="0">IF(AND(H85&lt;&gt;"",I85&lt;&gt;""),(I85-H85)/H85,"")</x:f>
      </x:c>
      <x:c r="L85" s="10"/>
      <x:c r="M85" s="10"/>
      <x:c r="N85" s="10" t="str">
        <x:f aca="0">IF(AND(H85&lt;&gt;"",M85&lt;&gt;""),(M85-H85)/H85,"")</x:f>
      </x:c>
      <x:c r="O85" s="10"/>
      <x:c r="P85" s="10"/>
      <x:c r="Q85" s="10"/>
      <x:c r="R85" s="10"/>
      <x:c r="S85" s="10"/>
      <x:c r="T85" s="10"/>
    </x:row>
    <x:row r="86" ht="15" hidden="0">
      <x:c r="A86" s="10" t="str">
        <x:f aca="0">IF(D86&lt;&gt;"",ROW()-3,"")</x:f>
      </x:c>
      <x:c r="B86" s="10"/>
      <x:c r="C86" s="10"/>
      <x:c r="D86" s="10"/>
      <x:c r="E86" s="10"/>
      <x:c r="F86" s="10"/>
      <x:c r="G86" s="10"/>
      <x:c r="H86" s="10"/>
      <x:c r="I86" s="10"/>
      <x:c r="J86" s="10"/>
      <x:c r="K86" s="10" t="str">
        <x:f aca="0">IF(AND(H86&lt;&gt;"",I86&lt;&gt;""),(I86-H86)/H86,"")</x:f>
      </x:c>
      <x:c r="L86" s="10"/>
      <x:c r="M86" s="10"/>
      <x:c r="N86" s="10" t="str">
        <x:f aca="0">IF(AND(H86&lt;&gt;"",M86&lt;&gt;""),(M86-H86)/H86,"")</x:f>
      </x:c>
      <x:c r="O86" s="10"/>
      <x:c r="P86" s="10"/>
      <x:c r="Q86" s="10"/>
      <x:c r="R86" s="10"/>
      <x:c r="S86" s="10"/>
      <x:c r="T86" s="10"/>
    </x:row>
    <x:row r="87" ht="15" hidden="0">
      <x:c r="A87" s="10" t="str">
        <x:f aca="0">IF(D87&lt;&gt;"",ROW()-3,"")</x:f>
      </x:c>
      <x:c r="B87" s="10"/>
      <x:c r="C87" s="10"/>
      <x:c r="D87" s="10"/>
      <x:c r="E87" s="10"/>
      <x:c r="F87" s="10"/>
      <x:c r="G87" s="10"/>
      <x:c r="H87" s="10"/>
      <x:c r="I87" s="10"/>
      <x:c r="J87" s="10"/>
      <x:c r="K87" s="10" t="str">
        <x:f aca="0">IF(AND(H87&lt;&gt;"",I87&lt;&gt;""),(I87-H87)/H87,"")</x:f>
      </x:c>
      <x:c r="L87" s="10"/>
      <x:c r="M87" s="10"/>
      <x:c r="N87" s="10" t="str">
        <x:f aca="0">IF(AND(H87&lt;&gt;"",M87&lt;&gt;""),(M87-H87)/H87,"")</x:f>
      </x:c>
      <x:c r="O87" s="10"/>
      <x:c r="P87" s="10"/>
      <x:c r="Q87" s="10"/>
      <x:c r="R87" s="10"/>
      <x:c r="S87" s="10"/>
      <x:c r="T87" s="10"/>
    </x:row>
    <x:row r="88" ht="15" hidden="0">
      <x:c r="A88" s="10" t="str">
        <x:f aca="0">IF(D88&lt;&gt;"",ROW()-3,"")</x:f>
      </x:c>
      <x:c r="B88" s="10"/>
      <x:c r="C88" s="10"/>
      <x:c r="D88" s="10"/>
      <x:c r="E88" s="10"/>
      <x:c r="F88" s="10"/>
      <x:c r="G88" s="10"/>
      <x:c r="H88" s="10"/>
      <x:c r="I88" s="10"/>
      <x:c r="J88" s="10"/>
      <x:c r="K88" s="10" t="str">
        <x:f aca="0">IF(AND(H88&lt;&gt;"",I88&lt;&gt;""),(I88-H88)/H88,"")</x:f>
      </x:c>
      <x:c r="L88" s="10"/>
      <x:c r="M88" s="10"/>
      <x:c r="N88" s="10" t="str">
        <x:f aca="0">IF(AND(H88&lt;&gt;"",M88&lt;&gt;""),(M88-H88)/H88,"")</x:f>
      </x:c>
      <x:c r="O88" s="10"/>
      <x:c r="P88" s="10"/>
      <x:c r="Q88" s="10"/>
      <x:c r="R88" s="10"/>
      <x:c r="S88" s="10"/>
      <x:c r="T88" s="10"/>
    </x:row>
    <x:row r="89" ht="15" hidden="0">
      <x:c r="A89" s="10" t="str">
        <x:f aca="0">IF(D89&lt;&gt;"",ROW()-3,"")</x:f>
      </x:c>
      <x:c r="B89" s="10"/>
      <x:c r="C89" s="10"/>
      <x:c r="D89" s="10"/>
      <x:c r="E89" s="10"/>
      <x:c r="F89" s="10"/>
      <x:c r="G89" s="10"/>
      <x:c r="H89" s="10"/>
      <x:c r="I89" s="10"/>
      <x:c r="J89" s="10"/>
      <x:c r="K89" s="10" t="str">
        <x:f aca="0">IF(AND(H89&lt;&gt;"",I89&lt;&gt;""),(I89-H89)/H89,"")</x:f>
      </x:c>
      <x:c r="L89" s="10"/>
      <x:c r="M89" s="10"/>
      <x:c r="N89" s="10" t="str">
        <x:f aca="0">IF(AND(H89&lt;&gt;"",M89&lt;&gt;""),(M89-H89)/H89,"")</x:f>
      </x:c>
      <x:c r="O89" s="10"/>
      <x:c r="P89" s="10"/>
      <x:c r="Q89" s="10"/>
      <x:c r="R89" s="10"/>
      <x:c r="S89" s="10"/>
      <x:c r="T89" s="10"/>
    </x:row>
    <x:row r="90" ht="15" hidden="0">
      <x:c r="A90" s="10" t="str">
        <x:f aca="0">IF(D90&lt;&gt;"",ROW()-3,"")</x:f>
      </x:c>
      <x:c r="B90" s="10"/>
      <x:c r="C90" s="10"/>
      <x:c r="D90" s="10"/>
      <x:c r="E90" s="10"/>
      <x:c r="F90" s="10"/>
      <x:c r="G90" s="10"/>
      <x:c r="H90" s="10"/>
      <x:c r="I90" s="10"/>
      <x:c r="J90" s="10"/>
      <x:c r="K90" s="10" t="str">
        <x:f aca="0">IF(AND(H90&lt;&gt;"",I90&lt;&gt;""),(I90-H90)/H90,"")</x:f>
      </x:c>
      <x:c r="L90" s="10"/>
      <x:c r="M90" s="10"/>
      <x:c r="N90" s="10" t="str">
        <x:f aca="0">IF(AND(H90&lt;&gt;"",M90&lt;&gt;""),(M90-H90)/H90,"")</x:f>
      </x:c>
      <x:c r="O90" s="10"/>
      <x:c r="P90" s="10"/>
      <x:c r="Q90" s="10"/>
      <x:c r="R90" s="10"/>
      <x:c r="S90" s="10"/>
      <x:c r="T90" s="10"/>
    </x:row>
    <x:row r="91" ht="15" hidden="0">
      <x:c r="A91" s="10" t="str">
        <x:f aca="0">IF(D91&lt;&gt;"",ROW()-3,"")</x:f>
      </x:c>
      <x:c r="B91" s="10"/>
      <x:c r="C91" s="10"/>
      <x:c r="D91" s="10"/>
      <x:c r="E91" s="10"/>
      <x:c r="F91" s="10"/>
      <x:c r="G91" s="10"/>
      <x:c r="H91" s="10"/>
      <x:c r="I91" s="10"/>
      <x:c r="J91" s="10"/>
      <x:c r="K91" s="10" t="str">
        <x:f aca="0">IF(AND(H91&lt;&gt;"",I91&lt;&gt;""),(I91-H91)/H91,"")</x:f>
      </x:c>
      <x:c r="L91" s="10"/>
      <x:c r="M91" s="10"/>
      <x:c r="N91" s="10" t="str">
        <x:f aca="0">IF(AND(H91&lt;&gt;"",M91&lt;&gt;""),(M91-H91)/H91,"")</x:f>
      </x:c>
      <x:c r="O91" s="10"/>
      <x:c r="P91" s="10"/>
      <x:c r="Q91" s="10"/>
      <x:c r="R91" s="10"/>
      <x:c r="S91" s="10"/>
      <x:c r="T91" s="10"/>
    </x:row>
    <x:row r="92" ht="15" hidden="0">
      <x:c r="A92" s="10" t="str">
        <x:f aca="0">IF(D92&lt;&gt;"",ROW()-3,"")</x:f>
      </x:c>
      <x:c r="B92" s="10"/>
      <x:c r="C92" s="10"/>
      <x:c r="D92" s="10"/>
      <x:c r="E92" s="10"/>
      <x:c r="F92" s="10"/>
      <x:c r="G92" s="10"/>
      <x:c r="H92" s="10"/>
      <x:c r="I92" s="10"/>
      <x:c r="J92" s="10"/>
      <x:c r="K92" s="10" t="str">
        <x:f aca="0">IF(AND(H92&lt;&gt;"",I92&lt;&gt;""),(I92-H92)/H92,"")</x:f>
      </x:c>
      <x:c r="L92" s="10"/>
      <x:c r="M92" s="10"/>
      <x:c r="N92" s="10" t="str">
        <x:f aca="0">IF(AND(H92&lt;&gt;"",M92&lt;&gt;""),(M92-H92)/H92,"")</x:f>
      </x:c>
      <x:c r="O92" s="10"/>
      <x:c r="P92" s="10"/>
      <x:c r="Q92" s="10"/>
      <x:c r="R92" s="10"/>
      <x:c r="S92" s="10"/>
      <x:c r="T92" s="10"/>
    </x:row>
    <x:row r="93" ht="15" hidden="0">
      <x:c r="A93" s="10" t="str">
        <x:f aca="0">IF(D93&lt;&gt;"",ROW()-3,"")</x:f>
      </x:c>
      <x:c r="B93" s="10"/>
      <x:c r="C93" s="10"/>
      <x:c r="D93" s="10"/>
      <x:c r="E93" s="10"/>
      <x:c r="F93" s="10"/>
      <x:c r="G93" s="10"/>
      <x:c r="H93" s="10"/>
      <x:c r="I93" s="10"/>
      <x:c r="J93" s="10"/>
      <x:c r="K93" s="10" t="str">
        <x:f aca="0">IF(AND(H93&lt;&gt;"",I93&lt;&gt;""),(I93-H93)/H93,"")</x:f>
      </x:c>
      <x:c r="L93" s="10"/>
      <x:c r="M93" s="10"/>
      <x:c r="N93" s="10" t="str">
        <x:f aca="0">IF(AND(H93&lt;&gt;"",M93&lt;&gt;""),(M93-H93)/H93,"")</x:f>
      </x:c>
      <x:c r="O93" s="10"/>
      <x:c r="P93" s="10"/>
      <x:c r="Q93" s="10"/>
      <x:c r="R93" s="10"/>
      <x:c r="S93" s="10"/>
      <x:c r="T93" s="10"/>
    </x:row>
    <x:row r="94" ht="15" hidden="0">
      <x:c r="A94" s="10" t="str">
        <x:f aca="0">IF(D94&lt;&gt;"",ROW()-3,"")</x:f>
      </x:c>
      <x:c r="B94" s="10"/>
      <x:c r="C94" s="10"/>
      <x:c r="D94" s="10"/>
      <x:c r="E94" s="10"/>
      <x:c r="F94" s="10"/>
      <x:c r="G94" s="10"/>
      <x:c r="H94" s="10"/>
      <x:c r="I94" s="10"/>
      <x:c r="J94" s="10"/>
      <x:c r="K94" s="10" t="str">
        <x:f aca="0">IF(AND(H94&lt;&gt;"",I94&lt;&gt;""),(I94-H94)/H94,"")</x:f>
      </x:c>
      <x:c r="L94" s="10"/>
      <x:c r="M94" s="10"/>
      <x:c r="N94" s="10" t="str">
        <x:f aca="0">IF(AND(H94&lt;&gt;"",M94&lt;&gt;""),(M94-H94)/H94,"")</x:f>
      </x:c>
      <x:c r="O94" s="10"/>
      <x:c r="P94" s="10"/>
      <x:c r="Q94" s="10"/>
      <x:c r="R94" s="10"/>
      <x:c r="S94" s="10"/>
      <x:c r="T94" s="10"/>
    </x:row>
    <x:row r="95" ht="15" hidden="0">
      <x:c r="A95" s="10" t="str">
        <x:f aca="0">IF(D95&lt;&gt;"",ROW()-3,"")</x:f>
      </x:c>
      <x:c r="B95" s="10"/>
      <x:c r="C95" s="10"/>
      <x:c r="D95" s="10"/>
      <x:c r="E95" s="10"/>
      <x:c r="F95" s="10"/>
      <x:c r="G95" s="10"/>
      <x:c r="H95" s="10"/>
      <x:c r="I95" s="10"/>
      <x:c r="J95" s="10"/>
      <x:c r="K95" s="10" t="str">
        <x:f aca="0">IF(AND(H95&lt;&gt;"",I95&lt;&gt;""),(I95-H95)/H95,"")</x:f>
      </x:c>
      <x:c r="L95" s="10"/>
      <x:c r="M95" s="10"/>
      <x:c r="N95" s="10" t="str">
        <x:f aca="0">IF(AND(H95&lt;&gt;"",M95&lt;&gt;""),(M95-H95)/H95,"")</x:f>
      </x:c>
      <x:c r="O95" s="10"/>
      <x:c r="P95" s="10"/>
      <x:c r="Q95" s="10"/>
      <x:c r="R95" s="10"/>
      <x:c r="S95" s="10"/>
      <x:c r="T95" s="10"/>
    </x:row>
    <x:row r="96" ht="15" hidden="0">
      <x:c r="A96" s="10" t="str">
        <x:f aca="0">IF(D96&lt;&gt;"",ROW()-3,"")</x:f>
      </x:c>
      <x:c r="B96" s="10"/>
      <x:c r="C96" s="10"/>
      <x:c r="D96" s="10"/>
      <x:c r="E96" s="10"/>
      <x:c r="F96" s="10"/>
      <x:c r="G96" s="10"/>
      <x:c r="H96" s="10"/>
      <x:c r="I96" s="10"/>
      <x:c r="J96" s="10"/>
      <x:c r="K96" s="10" t="str">
        <x:f aca="0">IF(AND(H96&lt;&gt;"",I96&lt;&gt;""),(I96-H96)/H96,"")</x:f>
      </x:c>
      <x:c r="L96" s="10"/>
      <x:c r="M96" s="10"/>
      <x:c r="N96" s="10" t="str">
        <x:f aca="0">IF(AND(H96&lt;&gt;"",M96&lt;&gt;""),(M96-H96)/H96,"")</x:f>
      </x:c>
      <x:c r="O96" s="10"/>
      <x:c r="P96" s="10"/>
      <x:c r="Q96" s="10"/>
      <x:c r="R96" s="10"/>
      <x:c r="S96" s="10"/>
      <x:c r="T96" s="10"/>
    </x:row>
    <x:row r="97" ht="15" hidden="0">
      <x:c r="A97" s="10" t="str">
        <x:f aca="0">IF(D97&lt;&gt;"",ROW()-3,"")</x:f>
      </x:c>
      <x:c r="B97" s="10"/>
      <x:c r="C97" s="10"/>
      <x:c r="D97" s="10"/>
      <x:c r="E97" s="10"/>
      <x:c r="F97" s="10"/>
      <x:c r="G97" s="10"/>
      <x:c r="H97" s="10"/>
      <x:c r="I97" s="10"/>
      <x:c r="J97" s="10"/>
      <x:c r="K97" s="10" t="str">
        <x:f aca="0">IF(AND(H97&lt;&gt;"",I97&lt;&gt;""),(I97-H97)/H97,"")</x:f>
      </x:c>
      <x:c r="L97" s="10"/>
      <x:c r="M97" s="10"/>
      <x:c r="N97" s="10" t="str">
        <x:f aca="0">IF(AND(H97&lt;&gt;"",M97&lt;&gt;""),(M97-H97)/H97,"")</x:f>
      </x:c>
      <x:c r="O97" s="10"/>
      <x:c r="P97" s="10"/>
      <x:c r="Q97" s="10"/>
      <x:c r="R97" s="10"/>
      <x:c r="S97" s="10"/>
      <x:c r="T97" s="10"/>
    </x:row>
    <x:row r="98" ht="15" hidden="0">
      <x:c r="A98" s="10" t="str">
        <x:f aca="0">IF(D98&lt;&gt;"",ROW()-3,"")</x:f>
      </x:c>
      <x:c r="B98" s="10"/>
      <x:c r="C98" s="10"/>
      <x:c r="D98" s="10"/>
      <x:c r="E98" s="10"/>
      <x:c r="F98" s="10"/>
      <x:c r="G98" s="10"/>
      <x:c r="H98" s="10"/>
      <x:c r="I98" s="10"/>
      <x:c r="J98" s="10"/>
      <x:c r="K98" s="10" t="str">
        <x:f aca="0">IF(AND(H98&lt;&gt;"",I98&lt;&gt;""),(I98-H98)/H98,"")</x:f>
      </x:c>
      <x:c r="L98" s="10"/>
      <x:c r="M98" s="10"/>
      <x:c r="N98" s="10" t="str">
        <x:f aca="0">IF(AND(H98&lt;&gt;"",M98&lt;&gt;""),(M98-H98)/H98,"")</x:f>
      </x:c>
      <x:c r="O98" s="10"/>
      <x:c r="P98" s="10"/>
      <x:c r="Q98" s="10"/>
      <x:c r="R98" s="10"/>
      <x:c r="S98" s="10"/>
      <x:c r="T98" s="10"/>
    </x:row>
    <x:row r="99" ht="15" hidden="0">
      <x:c r="A99" s="10" t="str">
        <x:f aca="0">IF(D99&lt;&gt;"",ROW()-3,"")</x:f>
      </x:c>
      <x:c r="B99" s="10"/>
      <x:c r="C99" s="10"/>
      <x:c r="D99" s="10"/>
      <x:c r="E99" s="10"/>
      <x:c r="F99" s="10"/>
      <x:c r="G99" s="10"/>
      <x:c r="H99" s="10"/>
      <x:c r="I99" s="10"/>
      <x:c r="J99" s="10"/>
      <x:c r="K99" s="10" t="str">
        <x:f aca="0">IF(AND(H99&lt;&gt;"",I99&lt;&gt;""),(I99-H99)/H99,"")</x:f>
      </x:c>
      <x:c r="L99" s="10"/>
      <x:c r="M99" s="10"/>
      <x:c r="N99" s="10" t="str">
        <x:f aca="0">IF(AND(H99&lt;&gt;"",M99&lt;&gt;""),(M99-H99)/H99,"")</x:f>
      </x:c>
      <x:c r="O99" s="10"/>
      <x:c r="P99" s="10"/>
      <x:c r="Q99" s="10"/>
      <x:c r="R99" s="10"/>
      <x:c r="S99" s="10"/>
      <x:c r="T99" s="10"/>
    </x:row>
    <x:row r="100" ht="15" hidden="0">
      <x:c r="A100" s="10" t="str">
        <x:f aca="0">IF(D100&lt;&gt;"",ROW()-3,"")</x:f>
      </x:c>
      <x:c r="B100" s="10"/>
      <x:c r="C100" s="10"/>
      <x:c r="D100" s="10"/>
      <x:c r="E100" s="10"/>
      <x:c r="F100" s="10"/>
      <x:c r="G100" s="10"/>
      <x:c r="H100" s="10"/>
      <x:c r="I100" s="10"/>
      <x:c r="J100" s="10"/>
      <x:c r="K100" s="10" t="str">
        <x:f aca="0">IF(AND(H100&lt;&gt;"",I100&lt;&gt;""),(I100-H100)/H100,"")</x:f>
      </x:c>
      <x:c r="L100" s="10"/>
      <x:c r="M100" s="10"/>
      <x:c r="N100" s="10" t="str">
        <x:f aca="0">IF(AND(H100&lt;&gt;"",M100&lt;&gt;""),(M100-H100)/H100,"")</x:f>
      </x:c>
      <x:c r="O100" s="10"/>
      <x:c r="P100" s="10"/>
      <x:c r="Q100" s="10"/>
      <x:c r="R100" s="10"/>
      <x:c r="S100" s="10"/>
      <x:c r="T100" s="10"/>
    </x:row>
    <x:row r="101" ht="15" hidden="0">
      <x:c r="A101" s="10" t="str">
        <x:f aca="0">IF(D101&lt;&gt;"",ROW()-3,"")</x:f>
      </x:c>
      <x:c r="B101" s="10"/>
      <x:c r="C101" s="10"/>
      <x:c r="D101" s="10"/>
      <x:c r="E101" s="10"/>
      <x:c r="F101" s="10"/>
      <x:c r="G101" s="10"/>
      <x:c r="H101" s="10"/>
      <x:c r="I101" s="10"/>
      <x:c r="J101" s="10"/>
      <x:c r="K101" s="10" t="str">
        <x:f aca="0">IF(AND(H101&lt;&gt;"",I101&lt;&gt;""),(I101-H101)/H101,"")</x:f>
      </x:c>
      <x:c r="L101" s="10"/>
      <x:c r="M101" s="10"/>
      <x:c r="N101" s="10" t="str">
        <x:f aca="0">IF(AND(H101&lt;&gt;"",M101&lt;&gt;""),(M101-H101)/H101,"")</x:f>
      </x:c>
      <x:c r="O101" s="10"/>
      <x:c r="P101" s="10"/>
      <x:c r="Q101" s="10"/>
      <x:c r="R101" s="10"/>
      <x:c r="S101" s="10"/>
      <x:c r="T101" s="10"/>
    </x:row>
    <x:row r="102" ht="15" hidden="0">
      <x:c r="A102" s="10" t="str">
        <x:f aca="0">IF(D102&lt;&gt;"",ROW()-3,"")</x:f>
      </x:c>
      <x:c r="B102" s="10"/>
      <x:c r="C102" s="10"/>
      <x:c r="D102" s="10"/>
      <x:c r="E102" s="10"/>
      <x:c r="F102" s="10"/>
      <x:c r="G102" s="10"/>
      <x:c r="H102" s="10"/>
      <x:c r="I102" s="10"/>
      <x:c r="J102" s="10"/>
      <x:c r="K102" s="10" t="str">
        <x:f aca="0">IF(AND(H102&lt;&gt;"",I102&lt;&gt;""),(I102-H102)/H102,"")</x:f>
      </x:c>
      <x:c r="L102" s="10"/>
      <x:c r="M102" s="10"/>
      <x:c r="N102" s="10" t="str">
        <x:f aca="0">IF(AND(H102&lt;&gt;"",M102&lt;&gt;""),(M102-H102)/H102,"")</x:f>
      </x:c>
      <x:c r="O102" s="10"/>
      <x:c r="P102" s="10"/>
      <x:c r="Q102" s="10"/>
      <x:c r="R102" s="10"/>
      <x:c r="S102" s="10"/>
      <x:c r="T102" s="10"/>
    </x:row>
    <x:row r="103" ht="15" hidden="0">
      <x:c r="A103" s="10" t="str">
        <x:f aca="0">IF(D103&lt;&gt;"",ROW()-3,"")</x:f>
      </x:c>
      <x:c r="B103" s="10"/>
      <x:c r="C103" s="10"/>
      <x:c r="D103" s="10"/>
      <x:c r="E103" s="10"/>
      <x:c r="F103" s="10"/>
      <x:c r="G103" s="10"/>
      <x:c r="H103" s="10"/>
      <x:c r="I103" s="10"/>
      <x:c r="J103" s="10"/>
      <x:c r="K103" s="10" t="str">
        <x:f aca="0">IF(AND(H103&lt;&gt;"",I103&lt;&gt;""),(I103-H103)/H103,"")</x:f>
      </x:c>
      <x:c r="L103" s="10"/>
      <x:c r="M103" s="10"/>
      <x:c r="N103" s="10" t="str">
        <x:f aca="0">IF(AND(H103&lt;&gt;"",M103&lt;&gt;""),(M103-H103)/H103,"")</x:f>
      </x:c>
      <x:c r="O103" s="10"/>
      <x:c r="P103" s="10"/>
      <x:c r="Q103" s="10"/>
      <x:c r="R103" s="10"/>
      <x:c r="S103" s="10"/>
      <x:c r="T103" s="10"/>
    </x:row>
  </x:sheetData>
  <x:mergeCells>
    <x:mergeCell ref="A1:T1"/>
  </x:mergeCell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1" workbookViewId="0"/>
  </x:sheetViews>
  <x:sheetFormatPr defaultColWidth="8.6796875" defaultRowHeight="15"/>
  <x:cols>
    <x:col min="1" max="1" width="11" hidden="0" customWidth="1"/>
    <x:col min="2" max="2" width="14" hidden="0" customWidth="1"/>
    <x:col min="3" max="3" width="32" hidden="0" customWidth="1"/>
    <x:col min="4" max="5" width="28" hidden="0" customWidth="1"/>
    <x:col min="6" max="8" width="12" hidden="0" customWidth="1"/>
    <x:col min="9" max="9" width="32" hidden="0" customWidth="1"/>
    <x:col min="10" max="10" width="34" hidden="0" customWidth="1"/>
    <x:col min="11" max="12" width="18" hidden="0" customWidth="1"/>
    <x:col min="13" max="13" width="42" hidden="0" customWidth="1"/>
    <x:col min="14" max="14" width="32" hidden="0" customWidth="1"/>
  </x:cols>
  <x:sheetData>
    <x:row r="1" ht="15" hidden="0">
      <x:c r="A1" s="12" t="s">
        <x:v>225</x:v>
      </x:c>
      <x:c r="B1" s="12"/>
      <x:c r="C1" s="12"/>
      <x:c r="D1" s="12"/>
      <x:c r="E1" s="12"/>
      <x:c r="F1" s="12"/>
      <x:c r="G1" s="12"/>
      <x:c r="H1" s="12"/>
      <x:c r="I1" s="12"/>
      <x:c r="J1" s="12"/>
      <x:c r="K1" s="12"/>
      <x:c r="L1" s="12"/>
      <x:c r="M1" s="12"/>
      <x:c r="N1" s="12"/>
    </x:row>
    <x:row r="2" ht="15" hidden="0">
      <x:c r="A2" s="2"/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</x:row>
    <x:row r="3" ht="15" hidden="0">
      <x:c r="A3" s="7" t="s">
        <x:v>197</x:v>
      </x:c>
      <x:c r="B3" s="7" t="s">
        <x:v>226</x:v>
      </x:c>
      <x:c r="C3" s="7" t="s">
        <x:v>227</x:v>
      </x:c>
      <x:c r="D3" s="7" t="s">
        <x:v>228</x:v>
      </x:c>
      <x:c r="E3" s="7" t="s">
        <x:v>229</x:v>
      </x:c>
      <x:c r="F3" s="7" t="s">
        <x:v>230</x:v>
      </x:c>
      <x:c r="G3" s="7" t="s">
        <x:v>231</x:v>
      </x:c>
      <x:c r="H3" s="7" t="s">
        <x:v>232</x:v>
      </x:c>
      <x:c r="I3" s="7" t="s">
        <x:v>233</x:v>
      </x:c>
      <x:c r="J3" s="7" t="s">
        <x:v>234</x:v>
      </x:c>
      <x:c r="K3" s="7" t="s">
        <x:v>235</x:v>
      </x:c>
      <x:c r="L3" s="7" t="s">
        <x:v>236</x:v>
      </x:c>
      <x:c r="M3" s="7" t="s">
        <x:v>237</x:v>
      </x:c>
      <x:c r="N3" s="7" t="s">
        <x:v>238</x:v>
      </x:c>
    </x:row>
    <x:row r="4" ht="15" hidden="0">
      <x:c r="A4" s="10" t="s">
        <x:v>212</x:v>
      </x:c>
      <x:c r="B4" s="10"/>
      <x:c r="C4" s="10"/>
      <x:c r="D4" s="10"/>
      <x:c r="E4" s="10"/>
      <x:c r="F4" s="10"/>
      <x:c r="G4" s="10"/>
      <x:c r="H4" s="10"/>
      <x:c r="I4" s="10"/>
      <x:c r="J4" s="10"/>
      <x:c r="K4" s="10"/>
      <x:c r="L4" s="10"/>
      <x:c r="M4" s="10"/>
      <x:c r="N4" s="10"/>
    </x:row>
    <x:row r="5" ht="15" hidden="0">
      <x:c r="A5" s="10" t="s">
        <x:v>239</x:v>
      </x:c>
      <x:c r="B5" s="10"/>
      <x:c r="C5" s="10"/>
      <x:c r="D5" s="10"/>
      <x:c r="E5" s="10"/>
      <x:c r="F5" s="10"/>
      <x:c r="G5" s="10"/>
      <x:c r="H5" s="10"/>
      <x:c r="I5" s="10"/>
      <x:c r="J5" s="10"/>
      <x:c r="K5" s="10"/>
      <x:c r="L5" s="10"/>
      <x:c r="M5" s="10"/>
      <x:c r="N5" s="10"/>
    </x:row>
    <x:row r="6" ht="15" hidden="0">
      <x:c r="A6" s="10" t="s">
        <x:v>240</x:v>
      </x:c>
      <x:c r="B6" s="10"/>
      <x:c r="C6" s="10"/>
      <x:c r="D6" s="10"/>
      <x:c r="E6" s="10"/>
      <x:c r="F6" s="10"/>
      <x:c r="G6" s="10"/>
      <x:c r="H6" s="10"/>
      <x:c r="I6" s="10"/>
      <x:c r="J6" s="10"/>
      <x:c r="K6" s="10"/>
      <x:c r="L6" s="10"/>
      <x:c r="M6" s="10"/>
      <x:c r="N6" s="10"/>
    </x:row>
    <x:row r="7" ht="15" hidden="0">
      <x:c r="A7" s="10" t="s">
        <x:v>241</x:v>
      </x:c>
      <x:c r="B7" s="10"/>
      <x:c r="C7" s="10"/>
      <x:c r="D7" s="10"/>
      <x:c r="E7" s="10"/>
      <x:c r="F7" s="10"/>
      <x:c r="G7" s="10"/>
      <x:c r="H7" s="10"/>
      <x:c r="I7" s="10"/>
      <x:c r="J7" s="10"/>
      <x:c r="K7" s="10"/>
      <x:c r="L7" s="10"/>
      <x:c r="M7" s="10"/>
      <x:c r="N7" s="10"/>
    </x:row>
  </x:sheetData>
  <x:mergeCells>
    <x:mergeCell ref="A1:N1"/>
  </x:mergeCell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showGridLines="1" workbookViewId="0"/>
  </x:sheetViews>
  <x:sheetFormatPr defaultColWidth="8.6796875" defaultRowHeight="15"/>
  <x:cols>
    <x:col min="1" max="1" width="10" hidden="0" customWidth="1"/>
    <x:col min="2" max="2" width="24" hidden="0" customWidth="1"/>
    <x:col min="3" max="3" width="10" hidden="0" customWidth="1"/>
    <x:col min="4" max="4" width="22" hidden="0" customWidth="1"/>
    <x:col min="5" max="5" width="12" hidden="0" customWidth="1"/>
    <x:col min="6" max="6" width="18" hidden="0" customWidth="1"/>
    <x:col min="7" max="7" width="44" hidden="0" customWidth="1"/>
    <x:col min="8" max="8" width="38" hidden="0" customWidth="1"/>
    <x:col min="9" max="9" width="36" hidden="0" customWidth="1"/>
    <x:col min="10" max="10" width="28" hidden="0" customWidth="1"/>
    <x:col min="11" max="11" width="32" hidden="0" customWidth="1"/>
    <x:col min="12" max="12" width="10" hidden="0" customWidth="1"/>
  </x:cols>
  <x:sheetData>
    <x:row r="1" ht="15" hidden="0">
      <x:c r="A1" s="12" t="s">
        <x:v>242</x:v>
      </x:c>
      <x:c r="B1" s="12"/>
      <x:c r="C1" s="12"/>
      <x:c r="D1" s="12"/>
      <x:c r="E1" s="12"/>
      <x:c r="F1" s="12"/>
      <x:c r="G1" s="12"/>
      <x:c r="H1" s="12"/>
      <x:c r="I1" s="12"/>
      <x:c r="J1" s="12"/>
      <x:c r="K1" s="12"/>
      <x:c r="L1" s="12"/>
    </x:row>
    <x:row r="2" ht="15" hidden="0">
      <x:c r="A2" s="2"/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</x:row>
    <x:row r="3" ht="15" hidden="0">
      <x:c r="A3" s="6" t="s">
        <x:v>5</x:v>
      </x:c>
      <x:c r="B3" s="7" t="s">
        <x:v>6</x:v>
      </x:c>
      <x:c r="C3" s="7" t="s">
        <x:v>103</x:v>
      </x:c>
      <x:c r="D3" s="7" t="s">
        <x:v>243</x:v>
      </x:c>
      <x:c r="E3" s="7" t="s">
        <x:v>199</x:v>
      </x:c>
      <x:c r="F3" s="7" t="s">
        <x:v>244</x:v>
      </x:c>
      <x:c r="G3" s="7" t="s">
        <x:v>245</x:v>
      </x:c>
      <x:c r="H3" s="7" t="s">
        <x:v>246</x:v>
      </x:c>
      <x:c r="I3" s="7" t="s">
        <x:v>247</x:v>
      </x:c>
      <x:c r="J3" s="7" t="s">
        <x:v>248</x:v>
      </x:c>
      <x:c r="K3" s="7" t="s">
        <x:v>141</x:v>
      </x:c>
      <x:c r="L3" s="7" t="s">
        <x:v>249</x:v>
      </x:c>
    </x:row>
    <x:row r="4" ht="15" hidden="0">
      <x:c r="A4" s="10" t="s">
        <x:v>31</x:v>
      </x:c>
      <x:c r="B4" s="3" t="s">
        <x:v>250</x:v>
      </x:c>
      <x:c r="C4" s="10" t="s">
        <x:v>114</x:v>
      </x:c>
      <x:c r="D4" s="3" t="s">
        <x:v>115</x:v>
      </x:c>
      <x:c r="E4" s="3" t="s">
        <x:v>213</x:v>
      </x:c>
      <x:c r="F4" s="3" t="s">
        <x:v>148</x:v>
      </x:c>
      <x:c r="G4" s="10" t="s">
        <x:v>215</x:v>
      </x:c>
      <x:c r="H4" s="10" t="s">
        <x:v>142</x:v>
      </x:c>
      <x:c r="I4" s="10" t="s">
        <x:v>251</x:v>
      </x:c>
      <x:c r="J4" s="10" t="s">
        <x:v>252</x:v>
      </x:c>
      <x:c r="K4" s="3" t="s">
        <x:v>217</x:v>
      </x:c>
      <x:c r="L4" s="3" t="s">
        <x:v>253</x:v>
      </x:c>
    </x:row>
    <x:row r="5" ht="15" hidden="0">
      <x:c r="A5" s="10" t="s">
        <x:v>31</x:v>
      </x:c>
      <x:c r="B5" s="3" t="s">
        <x:v>250</x:v>
      </x:c>
      <x:c r="C5" s="10" t="s">
        <x:v>117</x:v>
      </x:c>
      <x:c r="D5" s="10" t="s">
        <x:v>118</x:v>
      </x:c>
      <x:c r="E5" s="3" t="s">
        <x:v>213</x:v>
      </x:c>
      <x:c r="F5" s="3" t="s">
        <x:v>153</x:v>
      </x:c>
      <x:c r="G5" s="3" t="s">
        <x:v>219</x:v>
      </x:c>
      <x:c r="H5" s="10" t="s">
        <x:v>149</x:v>
      </x:c>
      <x:c r="I5" s="10" t="s">
        <x:v>254</x:v>
      </x:c>
      <x:c r="J5" s="10" t="s">
        <x:v>255</x:v>
      </x:c>
      <x:c r="K5" s="3" t="s">
        <x:v>220</x:v>
      </x:c>
      <x:c r="L5" s="3" t="s">
        <x:v>253</x:v>
      </x:c>
    </x:row>
    <x:row r="6" ht="15" hidden="0">
      <x:c r="A6" s="10" t="s">
        <x:v>17</x:v>
      </x:c>
      <x:c r="B6" s="3" t="s">
        <x:v>18</x:v>
      </x:c>
      <x:c r="C6" s="10" t="s">
        <x:v>119</x:v>
      </x:c>
      <x:c r="D6" s="3" t="s">
        <x:v>120</x:v>
      </x:c>
      <x:c r="E6" s="3" t="s">
        <x:v>213</x:v>
      </x:c>
      <x:c r="F6" s="3" t="s">
        <x:v>38</x:v>
      </x:c>
      <x:c r="G6" s="3" t="s">
        <x:v>221</x:v>
      </x:c>
      <x:c r="H6" s="10" t="s">
        <x:v>222</x:v>
      </x:c>
      <x:c r="I6" s="10" t="s">
        <x:v>155</x:v>
      </x:c>
      <x:c r="J6" s="10" t="s">
        <x:v>256</x:v>
      </x:c>
      <x:c r="K6" s="10" t="s">
        <x:v>223</x:v>
      </x:c>
      <x:c r="L6" s="3" t="s">
        <x:v>257</x:v>
      </x:c>
    </x:row>
    <x:row r="7" ht="15" hidden="0">
      <x:c r="A7" s="10" t="s">
        <x:v>17</x:v>
      </x:c>
      <x:c r="B7" s="3" t="s">
        <x:v>18</x:v>
      </x:c>
      <x:c r="C7" s="10" t="s">
        <x:v>161</x:v>
      </x:c>
      <x:c r="D7" s="3" t="s">
        <x:v>162</x:v>
      </x:c>
      <x:c r="E7" s="3" t="s">
        <x:v>213</x:v>
      </x:c>
      <x:c r="F7" s="3" t="s">
        <x:v>163</x:v>
      </x:c>
      <x:c r="G7" s="3" t="s">
        <x:v>258</x:v>
      </x:c>
      <x:c r="H7" s="10" t="s">
        <x:v>164</x:v>
      </x:c>
      <x:c r="I7" s="10" t="s">
        <x:v>259</x:v>
      </x:c>
      <x:c r="J7" s="10" t="s">
        <x:v>256</x:v>
      </x:c>
      <x:c r="K7" s="3" t="s">
        <x:v>260</x:v>
      </x:c>
      <x:c r="L7" s="3" t="s">
        <x:v>257</x:v>
      </x:c>
    </x:row>
    <x:row r="8" ht="15" hidden="0">
      <x:c r="A8" s="10" t="s">
        <x:v>29</x:v>
      </x:c>
      <x:c r="B8" s="3" t="s">
        <x:v>30</x:v>
      </x:c>
      <x:c r="C8" s="10" t="s">
        <x:v>171</x:v>
      </x:c>
      <x:c r="D8" s="3" t="s">
        <x:v>261</x:v>
      </x:c>
      <x:c r="E8" s="3" t="s">
        <x:v>213</x:v>
      </x:c>
      <x:c r="F8" s="3" t="s">
        <x:v>163</x:v>
      </x:c>
      <x:c r="G8" s="10" t="s">
        <x:v>262</x:v>
      </x:c>
      <x:c r="H8" s="3" t="s">
        <x:v>263</x:v>
      </x:c>
      <x:c r="I8" s="3" t="s">
        <x:v>174</x:v>
      </x:c>
      <x:c r="J8" s="10" t="s">
        <x:v>264</x:v>
      </x:c>
      <x:c r="K8" s="3" t="s">
        <x:v>265</x:v>
      </x:c>
      <x:c r="L8" s="3" t="s">
        <x:v>257</x:v>
      </x:c>
    </x:row>
    <x:row r="9" ht="15" hidden="0">
      <x:c r="A9" s="10" t="s">
        <x:v>21</x:v>
      </x:c>
      <x:c r="B9" s="3" t="s">
        <x:v>22</x:v>
      </x:c>
      <x:c r="C9" s="10" t="s">
        <x:v>179</x:v>
      </x:c>
      <x:c r="D9" s="3" t="s">
        <x:v>180</x:v>
      </x:c>
      <x:c r="E9" s="3" t="s">
        <x:v>213</x:v>
      </x:c>
      <x:c r="F9" s="3" t="s">
        <x:v>181</x:v>
      </x:c>
      <x:c r="G9" s="3" t="s">
        <x:v>266</x:v>
      </x:c>
      <x:c r="H9" s="3" t="s">
        <x:v>182</x:v>
      </x:c>
      <x:c r="I9" s="3" t="s">
        <x:v>267</x:v>
      </x:c>
      <x:c r="J9" s="10" t="s">
        <x:v>268</x:v>
      </x:c>
      <x:c r="K9" s="3" t="s">
        <x:v>269</x:v>
      </x:c>
      <x:c r="L9" s="3" t="s">
        <x:v>270</x:v>
      </x:c>
    </x:row>
    <x:row r="10" ht="15" hidden="0">
      <x:c r="A10" s="10" t="s">
        <x:v>21</x:v>
      </x:c>
      <x:c r="B10" s="3" t="s">
        <x:v>22</x:v>
      </x:c>
      <x:c r="C10" s="10" t="s">
        <x:v>188</x:v>
      </x:c>
      <x:c r="D10" s="3" t="s">
        <x:v>189</x:v>
      </x:c>
      <x:c r="E10" s="3" t="s">
        <x:v>213</x:v>
      </x:c>
      <x:c r="F10" s="3" t="s">
        <x:v>181</x:v>
      </x:c>
      <x:c r="G10" s="10" t="s">
        <x:v>271</x:v>
      </x:c>
      <x:c r="H10" s="3" t="s">
        <x:v>272</x:v>
      </x:c>
      <x:c r="I10" s="3" t="s">
        <x:v>273</x:v>
      </x:c>
      <x:c r="J10" s="10" t="s">
        <x:v>274</x:v>
      </x:c>
      <x:c r="K10" s="3" t="s">
        <x:v>169</x:v>
      </x:c>
      <x:c r="L10" s="3" t="s">
        <x:v>270</x:v>
      </x:c>
    </x:row>
    <x:row r="11" ht="15" hidden="0">
      <x:c r="A11" s="10" t="s">
        <x:v>25</x:v>
      </x:c>
      <x:c r="B11" s="10" t="s">
        <x:v>26</x:v>
      </x:c>
      <x:c r="C11" s="10" t="s">
        <x:v>275</x:v>
      </x:c>
      <x:c r="D11" s="10" t="s">
        <x:v>276</x:v>
      </x:c>
      <x:c r="E11" s="3" t="s">
        <x:v>277</x:v>
      </x:c>
      <x:c r="F11" s="3" t="s">
        <x:v>278</x:v>
      </x:c>
      <x:c r="G11" s="3" t="s">
        <x:v>279</x:v>
      </x:c>
      <x:c r="H11" s="10" t="s">
        <x:v>280</x:v>
      </x:c>
      <x:c r="I11" s="3" t="s">
        <x:v>281</x:v>
      </x:c>
      <x:c r="J11" s="3" t="s">
        <x:v>282</x:v>
      </x:c>
      <x:c r="K11" s="3" t="s">
        <x:v>283</x:v>
      </x:c>
      <x:c r="L11" s="3" t="s">
        <x:v>257</x:v>
      </x:c>
    </x:row>
    <x:row r="12" ht="15" hidden="0">
      <x:c r="A12" s="10" t="s">
        <x:v>25</x:v>
      </x:c>
      <x:c r="B12" s="10" t="s">
        <x:v>26</x:v>
      </x:c>
      <x:c r="C12" s="10" t="s">
        <x:v>284</x:v>
      </x:c>
      <x:c r="D12" s="3" t="s">
        <x:v>285</x:v>
      </x:c>
      <x:c r="E12" s="3" t="s">
        <x:v>277</x:v>
      </x:c>
      <x:c r="F12" s="3" t="s">
        <x:v>278</x:v>
      </x:c>
      <x:c r="G12" s="3" t="s">
        <x:v>286</x:v>
      </x:c>
      <x:c r="H12" s="3" t="s">
        <x:v>287</x:v>
      </x:c>
      <x:c r="I12" s="3" t="s">
        <x:v>288</x:v>
      </x:c>
      <x:c r="J12" s="3" t="s">
        <x:v>282</x:v>
      </x:c>
      <x:c r="K12" s="3" t="s">
        <x:v>283</x:v>
      </x:c>
      <x:c r="L12" s="3" t="s">
        <x:v>257</x:v>
      </x:c>
    </x:row>
  </x:sheetData>
  <x:mergeCells>
    <x:mergeCell ref="A1:L1"/>
  </x:mergeCell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Views>
    <x:sheetView showGridLines="1" workbookViewId="0"/>
  </x:sheetViews>
  <x:sheetFormatPr defaultColWidth="8.6796875" defaultRowHeight="15"/>
  <x:cols>
    <x:col min="1" max="1" width="14" hidden="0" customWidth="1"/>
    <x:col min="2" max="2" width="24" hidden="0" customWidth="1"/>
    <x:col min="3" max="4" width="12" hidden="0" customWidth="1"/>
    <x:col min="5" max="5" width="18" hidden="0" customWidth="1"/>
    <x:col min="6" max="6" width="34" hidden="0" customWidth="1"/>
    <x:col min="7" max="7" width="48" hidden="0" customWidth="1"/>
    <x:col min="8" max="8" width="34" hidden="0" customWidth="1"/>
  </x:cols>
  <x:sheetData>
    <x:row r="1" ht="15" hidden="0">
      <x:c r="A1" s="12" t="s">
        <x:v>289</x:v>
      </x:c>
      <x:c r="B1" s="12"/>
      <x:c r="C1" s="12"/>
      <x:c r="D1" s="12"/>
      <x:c r="E1" s="12"/>
      <x:c r="F1" s="12"/>
      <x:c r="G1" s="12"/>
      <x:c r="H1" s="12"/>
    </x:row>
    <x:row r="2" ht="15" hidden="0">
      <x:c r="A2" s="2"/>
      <x:c r="B2" s="2"/>
      <x:c r="C2" s="2"/>
      <x:c r="D2" s="2"/>
      <x:c r="E2" s="2"/>
      <x:c r="F2" s="2"/>
      <x:c r="G2" s="2"/>
      <x:c r="H2" s="2"/>
    </x:row>
    <x:row r="3" ht="15" hidden="0">
      <x:c r="A3" s="3" t="s">
        <x:v>290</x:v>
      </x:c>
      <x:c r="B3" s="3" t="s">
        <x:v>291</x:v>
      </x:c>
      <x:c r="C3" s="2"/>
      <x:c r="D3" s="2"/>
      <x:c r="E3" s="2"/>
      <x:c r="F3" s="2"/>
      <x:c r="G3" s="2"/>
      <x:c r="H3" s="2"/>
    </x:row>
    <x:row r="4" ht="15" hidden="0">
      <x:c r="A4" s="3" t="s">
        <x:v>292</x:v>
      </x:c>
      <x:c r="B4" s="3" t="s">
        <x:v>293</x:v>
      </x:c>
      <x:c r="C4" s="2"/>
      <x:c r="D4" s="2"/>
      <x:c r="E4" s="2"/>
      <x:c r="F4" s="2"/>
      <x:c r="G4" s="2"/>
      <x:c r="H4" s="2"/>
    </x:row>
    <x:row r="5" ht="15" hidden="0">
      <x:c r="A5" s="3" t="s">
        <x:v>19</x:v>
      </x:c>
      <x:c r="B5" s="10" t="s">
        <x:v>294</x:v>
      </x:c>
      <x:c r="C5" s="2"/>
      <x:c r="D5" s="2"/>
      <x:c r="E5" s="2"/>
      <x:c r="F5" s="2"/>
      <x:c r="G5" s="2"/>
      <x:c r="H5" s="2"/>
    </x:row>
    <x:row r="6" ht="15" hidden="0">
      <x:c r="A6" s="3" t="s">
        <x:v>295</x:v>
      </x:c>
      <x:c r="B6" s="10" t="s">
        <x:v>296</x:v>
      </x:c>
      <x:c r="C6" s="2"/>
      <x:c r="D6" s="2"/>
      <x:c r="E6" s="2"/>
      <x:c r="F6" s="2"/>
      <x:c r="G6" s="2"/>
      <x:c r="H6" s="2"/>
    </x:row>
    <x:row r="7" ht="15" hidden="0">
      <x:c r="A7" s="3" t="s">
        <x:v>38</x:v>
      </x:c>
      <x:c r="B7" s="10" t="s">
        <x:v>39</x:v>
      </x:c>
      <x:c r="C7" s="2"/>
      <x:c r="D7" s="2"/>
      <x:c r="E7" s="2"/>
      <x:c r="F7" s="2"/>
      <x:c r="G7" s="2"/>
      <x:c r="H7" s="2"/>
    </x:row>
    <x:row r="8" ht="15" hidden="0">
      <x:c r="A8" s="3" t="s">
        <x:v>297</x:v>
      </x:c>
      <x:c r="B8" s="10" t="s">
        <x:v>298</x:v>
      </x:c>
      <x:c r="C8" s="2"/>
      <x:c r="D8" s="2"/>
      <x:c r="E8" s="2"/>
      <x:c r="F8" s="2"/>
      <x:c r="G8" s="2"/>
      <x:c r="H8" s="2"/>
    </x:row>
    <x:row r="9" ht="15" hidden="0">
      <x:c r="A9" s="3" t="s">
        <x:v>299</x:v>
      </x:c>
      <x:c r="B9" s="3" t="s">
        <x:v>300</x:v>
      </x:c>
      <x:c r="C9" s="2"/>
      <x:c r="D9" s="2"/>
      <x:c r="E9" s="2"/>
      <x:c r="F9" s="2"/>
      <x:c r="G9" s="2"/>
      <x:c r="H9" s="2"/>
    </x:row>
    <x:row r="10" ht="15" hidden="0">
      <x:c r="A10" s="3" t="s">
        <x:v>301</x:v>
      </x:c>
      <x:c r="B10" s="3" t="s">
        <x:v>302</x:v>
      </x:c>
      <x:c r="C10" s="2"/>
      <x:c r="D10" s="2"/>
      <x:c r="E10" s="2"/>
      <x:c r="F10" s="2"/>
      <x:c r="G10" s="2"/>
      <x:c r="H10" s="2"/>
    </x:row>
    <x:row r="11" ht="15" hidden="0">
      <x:c r="A11" s="2"/>
      <x:c r="B11" s="2"/>
      <x:c r="C11" s="2"/>
      <x:c r="D11" s="2"/>
      <x:c r="E11" s="2"/>
      <x:c r="F11" s="2"/>
      <x:c r="G11" s="2"/>
      <x:c r="H11" s="2"/>
    </x:row>
    <x:row r="12" ht="15" hidden="0">
      <x:c r="A12" s="7" t="s">
        <x:v>103</x:v>
      </x:c>
      <x:c r="B12" s="7" t="s">
        <x:v>104</x:v>
      </x:c>
      <x:c r="C12" s="7" t="s">
        <x:v>303</x:v>
      </x:c>
      <x:c r="D12" s="7" t="s">
        <x:v>304</x:v>
      </x:c>
      <x:c r="E12" s="7" t="s">
        <x:v>305</x:v>
      </x:c>
      <x:c r="F12" s="7" t="s">
        <x:v>306</x:v>
      </x:c>
      <x:c r="G12" s="7" t="s">
        <x:v>307</x:v>
      </x:c>
      <x:c r="H12" s="7" t="s">
        <x:v>308</x:v>
      </x:c>
    </x:row>
    <x:row r="13" ht="15" hidden="0">
      <x:c r="A13" s="10" t="s">
        <x:v>114</x:v>
      </x:c>
      <x:c r="B13" s="3" t="s">
        <x:v>115</x:v>
      </x:c>
      <x:c r="C13" s="10"/>
      <x:c r="D13" s="10"/>
      <x:c r="E13" s="10"/>
      <x:c r="F13" s="10"/>
      <x:c r="G13" s="10" t="s">
        <x:v>309</x:v>
      </x:c>
      <x:c r="H13" s="10"/>
    </x:row>
    <x:row r="14" ht="15" hidden="0">
      <x:c r="A14" s="10" t="s">
        <x:v>117</x:v>
      </x:c>
      <x:c r="B14" s="10" t="s">
        <x:v>118</x:v>
      </x:c>
      <x:c r="C14" s="10"/>
      <x:c r="D14" s="10"/>
      <x:c r="E14" s="10"/>
      <x:c r="F14" s="10"/>
      <x:c r="G14" s="10" t="s">
        <x:v>310</x:v>
      </x:c>
      <x:c r="H14" s="10"/>
    </x:row>
    <x:row r="15" ht="15" hidden="0">
      <x:c r="A15" s="10" t="s">
        <x:v>119</x:v>
      </x:c>
      <x:c r="B15" s="3" t="s">
        <x:v>120</x:v>
      </x:c>
      <x:c r="C15" s="10"/>
      <x:c r="D15" s="10"/>
      <x:c r="E15" s="10"/>
      <x:c r="F15" s="10"/>
      <x:c r="G15" s="10" t="s">
        <x:v>311</x:v>
      </x:c>
      <x:c r="H15" s="10"/>
    </x:row>
    <x:row r="16" ht="15" hidden="0">
      <x:c r="A16" s="10" t="s">
        <x:v>161</x:v>
      </x:c>
      <x:c r="B16" s="3" t="s">
        <x:v>162</x:v>
      </x:c>
      <x:c r="C16" s="10"/>
      <x:c r="D16" s="10"/>
      <x:c r="E16" s="10"/>
      <x:c r="F16" s="10"/>
      <x:c r="G16" s="10" t="s">
        <x:v>312</x:v>
      </x:c>
      <x:c r="H16" s="10"/>
    </x:row>
    <x:row r="17" ht="15" hidden="0">
      <x:c r="A17" s="10" t="s">
        <x:v>171</x:v>
      </x:c>
      <x:c r="B17" s="3" t="s">
        <x:v>172</x:v>
      </x:c>
      <x:c r="C17" s="10"/>
      <x:c r="D17" s="10"/>
      <x:c r="E17" s="10"/>
      <x:c r="F17" s="10"/>
      <x:c r="G17" s="3" t="s">
        <x:v>313</x:v>
      </x:c>
      <x:c r="H17" s="10"/>
    </x:row>
    <x:row r="18" ht="15" hidden="0">
      <x:c r="A18" s="10" t="s">
        <x:v>179</x:v>
      </x:c>
      <x:c r="B18" s="3" t="s">
        <x:v>180</x:v>
      </x:c>
      <x:c r="C18" s="10"/>
      <x:c r="D18" s="10"/>
      <x:c r="E18" s="10"/>
      <x:c r="F18" s="10"/>
      <x:c r="G18" s="3" t="s">
        <x:v>314</x:v>
      </x:c>
      <x:c r="H18" s="10"/>
    </x:row>
    <x:row r="19" ht="15" hidden="0">
      <x:c r="A19" s="10" t="s">
        <x:v>188</x:v>
      </x:c>
      <x:c r="B19" s="3" t="s">
        <x:v>189</x:v>
      </x:c>
      <x:c r="C19" s="10"/>
      <x:c r="D19" s="10"/>
      <x:c r="E19" s="10"/>
      <x:c r="F19" s="10"/>
      <x:c r="G19" s="3" t="s">
        <x:v>315</x:v>
      </x:c>
      <x:c r="H19" s="10"/>
    </x:row>
    <x:row r="20" ht="15" hidden="0">
      <x:c r="A20" s="10" t="s">
        <x:v>275</x:v>
      </x:c>
      <x:c r="B20" s="10" t="s">
        <x:v>316</x:v>
      </x:c>
      <x:c r="C20" s="10"/>
      <x:c r="D20" s="10"/>
      <x:c r="E20" s="10"/>
      <x:c r="F20" s="10"/>
      <x:c r="G20" s="3" t="s">
        <x:v>317</x:v>
      </x:c>
      <x:c r="H20" s="10"/>
    </x:row>
    <x:row r="21" ht="15" hidden="0">
      <x:c r="A21" s="10" t="s">
        <x:v>284</x:v>
      </x:c>
      <x:c r="B21" s="3" t="s">
        <x:v>318</x:v>
      </x:c>
      <x:c r="C21" s="10"/>
      <x:c r="D21" s="10"/>
      <x:c r="E21" s="10"/>
      <x:c r="F21" s="10"/>
      <x:c r="G21" s="3" t="s">
        <x:v>319</x:v>
      </x:c>
      <x:c r="H21" s="10"/>
    </x:row>
    <x:row r="22" ht="15" hidden="0">
      <x:c r="A22" s="2"/>
      <x:c r="B22" s="2"/>
      <x:c r="C22" s="2"/>
      <x:c r="D22" s="2"/>
      <x:c r="E22" s="2"/>
      <x:c r="F22" s="2"/>
      <x:c r="G22" s="2"/>
      <x:c r="H22" s="2"/>
    </x:row>
    <x:row r="23" ht="15" hidden="0">
      <x:c r="A23" s="2"/>
      <x:c r="B23" s="2"/>
      <x:c r="C23" s="2"/>
      <x:c r="D23" s="2"/>
      <x:c r="E23" s="2"/>
      <x:c r="F23" s="2"/>
      <x:c r="G23" s="2"/>
      <x:c r="H23" s="2"/>
    </x:row>
    <x:row r="24" ht="15" hidden="0">
      <x:c r="A24" s="7" t="s">
        <x:v>320</x:v>
      </x:c>
      <x:c r="B24" s="7" t="s">
        <x:v>107</x:v>
      </x:c>
      <x:c r="C24" s="7" t="s">
        <x:v>321</x:v>
      </x:c>
      <x:c r="D24" s="7" t="s">
        <x:v>111</x:v>
      </x:c>
      <x:c r="E24" s="7" t="s">
        <x:v>112</x:v>
      </x:c>
      <x:c r="F24" s="7" t="s">
        <x:v>113</x:v>
      </x:c>
      <x:c r="G24" s="7" t="s">
        <x:v>322</x:v>
      </x:c>
      <x:c r="H24" s="7" t="s">
        <x:v>323</x:v>
      </x:c>
    </x:row>
    <x:row r="25" ht="15" hidden="0">
      <x:c r="A25" s="10" t="s">
        <x:v>324</x:v>
      </x:c>
      <x:c r="B25" s="10" t="n">
        <x:f aca="0">SUM('Capital Plan'!F11:F12)</x:f>
        <x:v>583200</x:v>
      </x:c>
      <x:c r="C25" s="10" t="n">
        <x:f aca="0">'Capital Plan'!B3-B25</x:f>
        <x:v>416800</x:v>
      </x:c>
      <x:c r="D25" s="10" t="n">
        <x:f aca="0">SUM('Capital Plan'!J11:J12)</x:f>
        <x:v>-25200</x:v>
      </x:c>
      <x:c r="E25" s="10" t="n">
        <x:f aca="0">SUM('Capital Plan'!K11:K12)</x:f>
        <x:v>26800</x:v>
      </x:c>
      <x:c r="F25" s="10" t="n">
        <x:f aca="0">SUM('Capital Plan'!L11:L12)</x:f>
        <x:v>51800</x:v>
      </x:c>
      <x:c r="G25" s="3" t="s">
        <x:v>325</x:v>
      </x:c>
      <x:c r="H25" s="3" t="s">
        <x:v>326</x:v>
      </x:c>
    </x:row>
    <x:row r="26" ht="15" hidden="0">
      <x:c r="A26" s="10" t="s">
        <x:v>327</x:v>
      </x:c>
      <x:c r="B26" s="10" t="n">
        <x:f aca="0">SUM('Capital Plan'!F11:F13)</x:f>
        <x:v>715200</x:v>
      </x:c>
      <x:c r="C26" s="10" t="n">
        <x:f aca="0">'Capital Plan'!B3-B26</x:f>
        <x:v>284800</x:v>
      </x:c>
      <x:c r="D26" s="10" t="n">
        <x:f aca="0">SUM('Capital Plan'!J11:J13)</x:f>
        <x:v>-33200</x:v>
      </x:c>
      <x:c r="E26" s="10" t="n">
        <x:f aca="0">SUM('Capital Plan'!K11:K13)</x:f>
        <x:v>42800</x:v>
      </x:c>
      <x:c r="F26" s="10" t="n">
        <x:f aca="0">SUM('Capital Plan'!L11:L13)</x:f>
        <x:v>75800</x:v>
      </x:c>
      <x:c r="G26" s="3" t="s">
        <x:v>328</x:v>
      </x:c>
      <x:c r="H26" s="10" t="s">
        <x:v>329</x:v>
      </x:c>
    </x:row>
    <x:row r="27" ht="15" hidden="0">
      <x:c r="A27" s="3" t="s">
        <x:v>330</x:v>
      </x:c>
      <x:c r="B27" s="10"/>
      <x:c r="C27" s="10"/>
      <x:c r="D27" s="10"/>
      <x:c r="E27" s="10"/>
      <x:c r="F27" s="10"/>
      <x:c r="G27" s="3" t="s">
        <x:v>331</x:v>
      </x:c>
      <x:c r="H27" s="3" t="s">
        <x:v>332</x:v>
      </x:c>
    </x:row>
    <x:row r="28" ht="15" hidden="0">
      <x:c r="A28" s="2"/>
      <x:c r="B28" s="2"/>
      <x:c r="C28" s="2"/>
      <x:c r="D28" s="2"/>
      <x:c r="E28" s="2"/>
      <x:c r="F28" s="2"/>
      <x:c r="G28" s="2"/>
      <x:c r="H28" s="2"/>
    </x:row>
    <x:row r="29" ht="15" hidden="0">
      <x:c r="A29" s="2"/>
      <x:c r="B29" s="2"/>
      <x:c r="C29" s="2"/>
      <x:c r="D29" s="2"/>
      <x:c r="E29" s="2"/>
      <x:c r="F29" s="2"/>
      <x:c r="G29" s="2"/>
      <x:c r="H29" s="2"/>
    </x:row>
    <x:row r="30" ht="15" hidden="0">
      <x:c r="A30" s="3" t="s">
        <x:v>333</x:v>
      </x:c>
      <x:c r="B30" s="3" t="s">
        <x:v>334</x:v>
      </x:c>
      <x:c r="C30" s="2"/>
      <x:c r="D30" s="2"/>
      <x:c r="E30" s="2"/>
      <x:c r="F30" s="2"/>
      <x:c r="G30" s="2"/>
      <x:c r="H30" s="2"/>
    </x:row>
    <x:row r="31" ht="15" hidden="0">
      <x:c r="A31" s="10" t="s">
        <x:v>335</x:v>
      </x:c>
      <x:c r="B31" s="3" t="s">
        <x:v>336</x:v>
      </x:c>
      <x:c r="C31" s="2"/>
      <x:c r="D31" s="2"/>
      <x:c r="E31" s="2"/>
      <x:c r="F31" s="2"/>
      <x:c r="G31" s="2"/>
      <x:c r="H31" s="2"/>
    </x:row>
    <x:row r="32" ht="15" hidden="0">
      <x:c r="A32" s="10" t="s">
        <x:v>337</x:v>
      </x:c>
      <x:c r="B32" s="3" t="s">
        <x:v>338</x:v>
      </x:c>
      <x:c r="C32" s="2"/>
      <x:c r="D32" s="2"/>
      <x:c r="E32" s="2"/>
      <x:c r="F32" s="2"/>
      <x:c r="G32" s="2"/>
      <x:c r="H32" s="2"/>
    </x:row>
    <x:row r="33" ht="15" hidden="0">
      <x:c r="A33" s="10" t="s">
        <x:v>339</x:v>
      </x:c>
      <x:c r="B33" s="10" t="s">
        <x:v>340</x:v>
      </x:c>
      <x:c r="C33" s="2"/>
      <x:c r="D33" s="2"/>
      <x:c r="E33" s="2"/>
      <x:c r="F33" s="2"/>
      <x:c r="G33" s="2"/>
      <x:c r="H33" s="2"/>
    </x:row>
    <x:row r="34" ht="15" hidden="0">
      <x:c r="A34" s="10" t="s">
        <x:v>341</x:v>
      </x:c>
      <x:c r="B34" s="3" t="s">
        <x:v>342</x:v>
      </x:c>
      <x:c r="C34" s="2"/>
      <x:c r="D34" s="2"/>
      <x:c r="E34" s="2"/>
      <x:c r="F34" s="2"/>
      <x:c r="G34" s="2"/>
      <x:c r="H34" s="2"/>
    </x:row>
    <x:row r="35" ht="15" hidden="0">
      <x:c r="A35" s="10" t="s">
        <x:v>343</x:v>
      </x:c>
      <x:c r="B35" s="3" t="s">
        <x:v>344</x:v>
      </x:c>
      <x:c r="C35" s="2"/>
      <x:c r="D35" s="2"/>
      <x:c r="E35" s="2"/>
      <x:c r="F35" s="2"/>
      <x:c r="G35" s="2"/>
      <x:c r="H35" s="2"/>
    </x:row>
    <x:row r="36" ht="15" hidden="0">
      <x:c r="A36" s="10" t="s">
        <x:v>345</x:v>
      </x:c>
      <x:c r="B36" s="3" t="s">
        <x:v>346</x:v>
      </x:c>
      <x:c r="C36" s="2"/>
      <x:c r="D36" s="2"/>
      <x:c r="E36" s="2"/>
      <x:c r="F36" s="2"/>
      <x:c r="G36" s="2"/>
      <x:c r="H36" s="2"/>
    </x:row>
    <x:row r="37" ht="15" hidden="0">
      <x:c r="A37" s="3" t="s">
        <x:v>347</x:v>
      </x:c>
      <x:c r="B37" s="3" t="s">
        <x:v>348</x:v>
      </x:c>
      <x:c r="C37" s="2"/>
      <x:c r="D37" s="2"/>
      <x:c r="E37" s="2"/>
      <x:c r="F37" s="2"/>
      <x:c r="G37" s="2"/>
      <x:c r="H37" s="2"/>
    </x:row>
  </x:sheetData>
  <x:mergeCells>
    <x:mergeCell ref="A1:H1"/>
  </x:mergeCells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Views>
    <x:sheetView showGridLines="1" workbookViewId="0"/>
  </x:sheetViews>
  <x:sheetFormatPr defaultColWidth="8.6796875" defaultRowHeight="15"/>
  <x:cols>
    <x:col min="1" max="1" width="22" hidden="0" customWidth="1"/>
    <x:col min="2" max="2" width="18" hidden="0" customWidth="1"/>
    <x:col min="3" max="3" width="95" hidden="0" customWidth="1"/>
    <x:col min="4" max="4" width="38" hidden="0" customWidth="1"/>
  </x:cols>
  <x:sheetData>
    <x:row r="1" ht="15" hidden="0">
      <x:c r="A1" s="1" t="s">
        <x:v>349</x:v>
      </x:c>
      <x:c r="B1" s="1"/>
      <x:c r="C1" s="1"/>
      <x:c r="D1" s="1"/>
    </x:row>
    <x:row r="2" ht="15" hidden="0">
      <x:c r="A2" s="2"/>
      <x:c r="B2" s="2"/>
      <x:c r="C2" s="2"/>
      <x:c r="D2" s="2"/>
    </x:row>
    <x:row r="3" ht="15" hidden="0">
      <x:c r="A3" s="7" t="s">
        <x:v>350</x:v>
      </x:c>
      <x:c r="B3" s="7" t="s">
        <x:v>351</x:v>
      </x:c>
      <x:c r="C3" s="7" t="s">
        <x:v>352</x:v>
      </x:c>
      <x:c r="D3" s="7" t="s">
        <x:v>353</x:v>
      </x:c>
    </x:row>
    <x:row r="4" ht="15" hidden="0">
      <x:c r="A4" s="3" t="s">
        <x:v>354</x:v>
      </x:c>
      <x:c r="B4" s="3" t="s">
        <x:v>355</x:v>
      </x:c>
      <x:c r="C4" s="3" t="s">
        <x:v>356</x:v>
      </x:c>
      <x:c r="D4" s="3" t="s">
        <x:v>357</x:v>
      </x:c>
    </x:row>
    <x:row r="5" ht="15" hidden="0">
      <x:c r="A5" s="3" t="s">
        <x:v>358</x:v>
      </x:c>
      <x:c r="B5" s="3" t="s">
        <x:v>355</x:v>
      </x:c>
      <x:c r="C5" s="3" t="s">
        <x:v>359</x:v>
      </x:c>
      <x:c r="D5" s="3" t="s">
        <x:v>360</x:v>
      </x:c>
    </x:row>
    <x:row r="6" ht="15" hidden="0">
      <x:c r="A6" s="3" t="s">
        <x:v>361</x:v>
      </x:c>
      <x:c r="B6" s="3" t="s">
        <x:v>362</x:v>
      </x:c>
      <x:c r="C6" s="3" t="s">
        <x:v>363</x:v>
      </x:c>
      <x:c r="D6" s="3" t="s">
        <x:v>364</x:v>
      </x:c>
    </x:row>
    <x:row r="7" ht="15" hidden="0">
      <x:c r="A7" s="3" t="s">
        <x:v>365</x:v>
      </x:c>
      <x:c r="B7" s="3" t="s">
        <x:v>366</x:v>
      </x:c>
      <x:c r="C7" s="3" t="s">
        <x:v>367</x:v>
      </x:c>
      <x:c r="D7" s="10" t="s">
        <x:v>368</x:v>
      </x:c>
    </x:row>
    <x:row r="8" ht="15" hidden="0">
      <x:c r="A8" s="3" t="s">
        <x:v>369</x:v>
      </x:c>
      <x:c r="B8" s="3" t="s">
        <x:v>370</x:v>
      </x:c>
      <x:c r="C8" s="3" t="s">
        <x:v>371</x:v>
      </x:c>
      <x:c r="D8" s="3" t="s">
        <x:v>372</x:v>
      </x:c>
    </x:row>
  </x:sheetData>
  <x:mergeCells>
    <x:mergeCell ref="A1:D1"/>
  </x:mergeCells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Views>
    <x:sheetView showGridLines="1" workbookViewId="0"/>
  </x:sheetViews>
  <x:sheetFormatPr defaultColWidth="8.6796875" defaultRowHeight="15"/>
  <x:cols>
    <x:col min="1" max="1" width="22" hidden="0" customWidth="1"/>
    <x:col min="2" max="2" width="95" hidden="0" customWidth="1"/>
    <x:col min="3" max="8" width="14" hidden="0" customWidth="1"/>
  </x:cols>
  <x:sheetData>
    <x:row r="1" ht="15" hidden="0">
      <x:c r="A1" s="1" t="s">
        <x:v>373</x:v>
      </x:c>
      <x:c r="B1" s="1"/>
      <x:c r="C1" s="1"/>
      <x:c r="D1" s="1"/>
      <x:c r="E1" s="1"/>
      <x:c r="F1" s="1"/>
      <x:c r="G1" s="1"/>
      <x:c r="H1" s="1"/>
    </x:row>
    <x:row r="2" ht="15" hidden="0">
      <x:c r="A2" s="2"/>
      <x:c r="B2" s="2"/>
      <x:c r="C2" s="2"/>
      <x:c r="D2" s="2"/>
      <x:c r="E2" s="2"/>
      <x:c r="F2" s="2"/>
      <x:c r="G2" s="2"/>
      <x:c r="H2" s="2"/>
    </x:row>
    <x:row r="3" ht="15" hidden="0">
      <x:c r="A3" s="25" t="s">
        <x:v>290</x:v>
      </x:c>
      <x:c r="B3" s="26" t="s">
        <x:v>374</x:v>
      </x:c>
      <x:c r="C3" s="2"/>
      <x:c r="D3" s="2"/>
      <x:c r="E3" s="2"/>
      <x:c r="F3" s="2"/>
      <x:c r="G3" s="2"/>
      <x:c r="H3" s="2"/>
    </x:row>
    <x:row r="4" ht="15" hidden="0">
      <x:c r="A4" s="3" t="s">
        <x:v>375</x:v>
      </x:c>
      <x:c r="B4" s="10" t="s">
        <x:v>376</x:v>
      </x:c>
      <x:c r="C4" s="2"/>
      <x:c r="D4" s="2"/>
      <x:c r="E4" s="2"/>
      <x:c r="F4" s="2"/>
      <x:c r="G4" s="2"/>
      <x:c r="H4" s="2"/>
    </x:row>
    <x:row r="5" ht="15" hidden="0">
      <x:c r="A5" s="3" t="s">
        <x:v>15</x:v>
      </x:c>
      <x:c r="B5" s="3" t="s">
        <x:v>377</x:v>
      </x:c>
      <x:c r="C5" s="2"/>
      <x:c r="D5" s="2"/>
      <x:c r="E5" s="2"/>
      <x:c r="F5" s="2"/>
      <x:c r="G5" s="2"/>
      <x:c r="H5" s="2"/>
    </x:row>
    <x:row r="6" ht="15" hidden="0">
      <x:c r="A6" s="3" t="s">
        <x:v>378</x:v>
      </x:c>
      <x:c r="B6" s="3" t="s">
        <x:v>379</x:v>
      </x:c>
      <x:c r="C6" s="2"/>
      <x:c r="D6" s="2"/>
      <x:c r="E6" s="2"/>
      <x:c r="F6" s="2"/>
      <x:c r="G6" s="2"/>
      <x:c r="H6" s="2"/>
    </x:row>
    <x:row r="7" ht="15" hidden="0">
      <x:c r="A7" s="10" t="s">
        <x:v>380</x:v>
      </x:c>
      <x:c r="B7" s="3" t="s">
        <x:v>381</x:v>
      </x:c>
      <x:c r="C7" s="2"/>
      <x:c r="D7" s="2"/>
      <x:c r="E7" s="2"/>
      <x:c r="F7" s="2"/>
      <x:c r="G7" s="2"/>
      <x:c r="H7" s="2"/>
    </x:row>
    <x:row r="8" ht="15" hidden="0">
      <x:c r="A8" s="3" t="s">
        <x:v>382</x:v>
      </x:c>
      <x:c r="B8" s="3" t="s">
        <x:v>383</x:v>
      </x:c>
      <x:c r="C8" s="2"/>
      <x:c r="D8" s="2"/>
      <x:c r="E8" s="2"/>
      <x:c r="F8" s="2"/>
      <x:c r="G8" s="2"/>
      <x:c r="H8" s="2"/>
    </x:row>
    <x:row r="9" ht="15" hidden="0">
      <x:c r="A9" s="3" t="s">
        <x:v>384</x:v>
      </x:c>
      <x:c r="B9" s="3" t="s">
        <x:v>385</x:v>
      </x:c>
      <x:c r="C9" s="2"/>
      <x:c r="D9" s="2"/>
      <x:c r="E9" s="2"/>
      <x:c r="F9" s="2"/>
      <x:c r="G9" s="2"/>
      <x:c r="H9" s="2"/>
    </x:row>
    <x:row r="10" ht="15" hidden="0">
      <x:c r="A10" s="3" t="s">
        <x:v>386</x:v>
      </x:c>
      <x:c r="B10" s="3" t="s">
        <x:v>387</x:v>
      </x:c>
      <x:c r="C10" s="2"/>
      <x:c r="D10" s="2"/>
      <x:c r="E10" s="2"/>
      <x:c r="F10" s="2"/>
      <x:c r="G10" s="2"/>
      <x:c r="H10" s="2"/>
    </x:row>
    <x:row r="11" ht="15" hidden="0">
      <x:c r="A11" s="3" t="s">
        <x:v>388</x:v>
      </x:c>
      <x:c r="B11" s="3" t="s">
        <x:v>389</x:v>
      </x:c>
      <x:c r="C11" s="2"/>
      <x:c r="D11" s="2"/>
      <x:c r="E11" s="2"/>
      <x:c r="F11" s="2"/>
      <x:c r="G11" s="2"/>
      <x:c r="H11" s="2"/>
    </x:row>
    <x:row r="12" ht="15" hidden="0">
      <x:c r="A12" s="3" t="s">
        <x:v>390</x:v>
      </x:c>
      <x:c r="B12" s="3" t="s">
        <x:v>391</x:v>
      </x:c>
      <x:c r="C12" s="2"/>
      <x:c r="D12" s="2"/>
      <x:c r="E12" s="2"/>
      <x:c r="F12" s="2"/>
      <x:c r="G12" s="2"/>
      <x:c r="H12" s="2"/>
    </x:row>
  </x:sheetData>
  <x:mergeCells>
    <x:mergeCell ref="A1:H1"/>
  </x:mergeCells>
  <x:pageMargins left="0.7" right="0.7" top="0.75" bottom="0.75" header="0.3" footer="0.3"/>
</x:worksheet>
</file>

<file path=xl/worksheets/sheet12.xml><?xml version="1.0" encoding="utf-8"?>
<x:worksheet xmlns:x="http://schemas.openxmlformats.org/spreadsheetml/2006/main">
  <x:sheetViews>
    <x:sheetView showGridLines="1" workbookViewId="0"/>
  </x:sheetViews>
  <x:sheetFormatPr defaultColWidth="8.6796875" defaultRowHeight="15"/>
  <x:cols>
    <x:col min="1" max="1" width="28" hidden="0" customWidth="1"/>
    <x:col min="2" max="5" width="12" hidden="0" customWidth="1"/>
    <x:col min="6" max="6" width="45" hidden="0" customWidth="1"/>
  </x:cols>
  <x:sheetData>
    <x:row r="1" ht="15" hidden="0">
      <x:c r="A1" s="12" t="s">
        <x:v>392</x:v>
      </x:c>
      <x:c r="B1" s="12"/>
      <x:c r="C1" s="12"/>
      <x:c r="D1" s="12"/>
      <x:c r="E1" s="12"/>
      <x:c r="F1" s="12"/>
    </x:row>
    <x:row r="2" ht="15" hidden="0">
      <x:c r="A2" s="2"/>
      <x:c r="B2" s="2"/>
      <x:c r="C2" s="2"/>
      <x:c r="D2" s="2"/>
      <x:c r="E2" s="2"/>
      <x:c r="F2" s="2"/>
    </x:row>
    <x:row r="3" ht="15" hidden="0">
      <x:c r="A3" s="7" t="s">
        <x:v>393</x:v>
      </x:c>
      <x:c r="B3" s="6" t="s">
        <x:v>394</x:v>
      </x:c>
      <x:c r="C3" s="6" t="s">
        <x:v>395</x:v>
      </x:c>
      <x:c r="D3" s="7" t="s">
        <x:v>396</x:v>
      </x:c>
      <x:c r="E3" s="6" t="s">
        <x:v>397</x:v>
      </x:c>
      <x:c r="F3" s="6" t="s">
        <x:v>398</x:v>
      </x:c>
    </x:row>
    <x:row r="4" ht="15" hidden="0">
      <x:c r="A4" s="10" t="s">
        <x:v>399</x:v>
      </x:c>
      <x:c r="B4" s="10" t="n">
        <x:f aca="0">COUNTIFS('Trade Log'!D:D,"&lt;&gt;",'Trade Log'!C:C,"")</x:f>
        <x:v>0</x:v>
      </x:c>
      <x:c r="C4" s="10" t="n">
        <x:v>0</x:v>
      </x:c>
      <x:c r="D4" s="10" t="n">
        <x:f aca="0">B4-C4</x:f>
        <x:v>0</x:v>
      </x:c>
      <x:c r="E4" s="10" t="str">
        <x:f aca="0">IF(D4=0,"OK","要確認")</x:f>
        <x:v>OK</x:v>
      </x:c>
      <x:c r="F4" s="10" t="s">
        <x:v>400</x:v>
      </x:c>
    </x:row>
    <x:row r="5" ht="15" hidden="0">
      <x:c r="A5" s="10" t="s">
        <x:v>401</x:v>
      </x:c>
      <x:c r="B5" s="10" t="n">
        <x:f aca="0">COUNTIFS('Trade Log'!H:H,"&lt;&gt;",'Trade Log'!I:I,"&lt;&gt;",'Trade Log'!K:K,"")</x:f>
        <x:v>0</x:v>
      </x:c>
      <x:c r="C5" s="3" t="s">
        <x:v>402</x:v>
      </x:c>
      <x:c r="D5" s="10" t="n">
        <x:f aca="0">B5</x:f>
        <x:v>0</x:v>
      </x:c>
      <x:c r="E5" s="10" t="str">
        <x:f aca="0">IF(D5=0,"OK","要確認")</x:f>
        <x:v>OK</x:v>
      </x:c>
      <x:c r="F5" s="10" t="s">
        <x:v>403</x:v>
      </x:c>
    </x:row>
    <x:row r="6" ht="15" hidden="0">
      <x:c r="A6" s="3" t="s">
        <x:v>404</x:v>
      </x:c>
      <x:c r="B6" s="10" t="n">
        <x:f aca="0">COUNTIFS('Trade Log'!H:H,"&lt;&gt;",'Trade Log'!M:M,"&lt;&gt;",'Trade Log'!N:N,"")</x:f>
        <x:v>0</x:v>
      </x:c>
      <x:c r="C6" s="3" t="s">
        <x:v>402</x:v>
      </x:c>
      <x:c r="D6" s="10" t="n">
        <x:f aca="0">B6</x:f>
        <x:v>0</x:v>
      </x:c>
      <x:c r="E6" s="10" t="str">
        <x:f aca="0">IF(D6=0,"OK","要確認")</x:f>
        <x:v>OK</x:v>
      </x:c>
      <x:c r="F6" s="10" t="s">
        <x:v>405</x:v>
      </x:c>
    </x:row>
    <x:row r="7" ht="15" hidden="0">
      <x:c r="A7" s="3" t="s">
        <x:v>406</x:v>
      </x:c>
      <x:c r="B7" s="10" t="n">
        <x:f aca="0">COUNTIF('Trade Log'!R:R,"重大")</x:f>
        <x:v>0</x:v>
      </x:c>
      <x:c r="C7" s="10" t="n">
        <x:v>0</x:v>
      </x:c>
      <x:c r="D7" s="10" t="n">
        <x:f aca="0">B7-C7</x:f>
        <x:v>0</x:v>
      </x:c>
      <x:c r="E7" s="10" t="str">
        <x:f aca="0">IF(D7=0,"OK","要確認")</x:f>
        <x:v>OK</x:v>
      </x:c>
      <x:c r="F7" s="10" t="s">
        <x:v>407</x:v>
      </x:c>
    </x:row>
    <x:row r="8" ht="15" hidden="0">
      <x:c r="A8" s="3" t="s">
        <x:v>408</x:v>
      </x:c>
      <x:c r="B8" s="10" t="n">
        <x:f aca="0">COUNTA('Weekly Review'!A4:A7)</x:f>
        <x:v>4</x:v>
      </x:c>
      <x:c r="C8" s="10" t="n">
        <x:v>4</x:v>
      </x:c>
      <x:c r="D8" s="10" t="n">
        <x:f aca="0">B8-C8</x:f>
        <x:v>0</x:v>
      </x:c>
      <x:c r="E8" s="10" t="str">
        <x:f aca="0">IF(D8=0,"OK","要確認")</x:f>
        <x:v>OK</x:v>
      </x:c>
      <x:c r="F8" s="10" t="s">
        <x:v>409</x:v>
      </x:c>
    </x:row>
  </x:sheetData>
  <x:mergeCells>
    <x:mergeCell ref="A1:F1"/>
  </x:mergeCells>
  <x:pageMargins left="0.7" right="0.7" top="0.75" bottom="0.75" header="0.3" footer="0.3"/>
</x:worksheet>
</file>

<file path=xl/worksheets/sheet1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1" hidden="0" customWidth="1"/>
    <x:col min="2" max="2" width="10" hidden="0" customWidth="1"/>
    <x:col min="3" max="3" width="20" hidden="0" customWidth="1"/>
    <x:col min="4" max="4" width="9" hidden="0" customWidth="1"/>
    <x:col min="5" max="5" width="12" hidden="0" customWidth="1"/>
    <x:col min="6" max="6" width="11" hidden="0" customWidth="1"/>
    <x:col min="7" max="7" width="11" hidden="0" customWidth="1"/>
    <x:col min="8" max="8" width="14" hidden="0" customWidth="1"/>
    <x:col min="9" max="9" width="12" hidden="0" customWidth="1"/>
    <x:col min="10" max="10" width="11" hidden="0" customWidth="1"/>
    <x:col min="11" max="11" width="12" hidden="0" customWidth="1"/>
    <x:col min="12" max="12" width="12" hidden="0" customWidth="1"/>
    <x:col min="13" max="13" width="11" hidden="0" customWidth="1"/>
    <x:col min="14" max="14" width="11" hidden="0" customWidth="1"/>
    <x:col min="15" max="15" width="13" hidden="0" customWidth="1"/>
    <x:col min="16" max="16" width="12" hidden="0" customWidth="1"/>
    <x:col min="17" max="17" width="11" hidden="0" customWidth="1"/>
    <x:col min="18" max="18" width="12" hidden="0" customWidth="1"/>
    <x:col min="19" max="19" width="12" hidden="0" customWidth="1"/>
    <x:col min="20" max="20" width="11" hidden="0" customWidth="1"/>
    <x:col min="21" max="21" width="12" hidden="0" customWidth="1"/>
    <x:col min="22" max="22" width="12" hidden="0" customWidth="1"/>
    <x:col min="23" max="23" width="11" hidden="0" customWidth="1"/>
    <x:col min="24" max="24" width="12" hidden="0" customWidth="1"/>
    <x:col min="25" max="25" width="11" hidden="0" customWidth="1"/>
    <x:col min="26" max="26" width="11" hidden="0" customWidth="1"/>
    <x:col min="27" max="27" width="34" hidden="0" customWidth="1"/>
  </x:cols>
  <x:sheetData>
    <x:row r="1" ht="26" customHeight="1">
      <x:c r="A1" s="97" t="str">
        <x:v>前進検証_v1（出口ルール比較・再投資なし）</x:v>
      </x:c>
      <x:c r="B1" s="97" t="str">
        <x:v>前進検証_v1（出口ルール比較・再投資なし）</x:v>
      </x:c>
      <x:c r="C1" s="97" t="str">
        <x:v>前進検証_v1（出口ルール比較・再投資なし）</x:v>
      </x:c>
      <x:c r="D1" s="97" t="str">
        <x:v>前進検証_v1（出口ルール比較・再投資なし）</x:v>
      </x:c>
      <x:c r="E1" s="97" t="str">
        <x:v>前進検証_v1（出口ルール比較・再投資なし）</x:v>
      </x:c>
      <x:c r="F1" s="97" t="str">
        <x:v>前進検証_v1（出口ルール比較・再投資なし）</x:v>
      </x:c>
      <x:c r="G1" s="97" t="str">
        <x:v>前進検証_v1（出口ルール比較・再投資なし）</x:v>
      </x:c>
      <x:c r="H1" s="97" t="str">
        <x:v>前進検証_v1（出口ルール比較・再投資なし）</x:v>
      </x:c>
      <x:c r="I1" s="97" t="str">
        <x:v>前進検証_v1（出口ルール比較・再投資なし）</x:v>
      </x:c>
      <x:c r="J1" s="97" t="str">
        <x:v>前進検証_v1（出口ルール比較・再投資なし）</x:v>
      </x:c>
      <x:c r="K1" s="97" t="str">
        <x:v>前進検証_v1（出口ルール比較・再投資なし）</x:v>
      </x:c>
      <x:c r="L1" s="97" t="str">
        <x:v>前進検証_v1（出口ルール比較・再投資なし）</x:v>
      </x:c>
      <x:c r="M1" s="97" t="str">
        <x:v>前進検証_v1（出口ルール比較・再投資なし）</x:v>
      </x:c>
      <x:c r="N1" s="97" t="str">
        <x:v>前進検証_v1（出口ルール比較・再投資なし）</x:v>
      </x:c>
      <x:c r="O1" s="97" t="str">
        <x:v>前進検証_v1（出口ルール比較・再投資なし）</x:v>
      </x:c>
      <x:c r="P1" s="97" t="str">
        <x:v>前進検証_v1（出口ルール比較・再投資なし）</x:v>
      </x:c>
      <x:c r="Q1" s="97" t="str">
        <x:v>前進検証_v1（出口ルール比較・再投資なし）</x:v>
      </x:c>
      <x:c r="R1" s="97" t="str">
        <x:v>前進検証_v1（出口ルール比較・再投資なし）</x:v>
      </x:c>
      <x:c r="S1" s="97" t="str">
        <x:v>前進検証_v1（出口ルール比較・再投資なし）</x:v>
      </x:c>
      <x:c r="T1" s="97" t="str">
        <x:v>前進検証_v1（出口ルール比較・再投資なし）</x:v>
      </x:c>
      <x:c r="U1" s="97" t="str">
        <x:v>前進検証_v1（出口ルール比較・再投資なし）</x:v>
      </x:c>
      <x:c r="V1" s="97" t="str">
        <x:v>前進検証_v1（出口ルール比較・再投資なし）</x:v>
      </x:c>
      <x:c r="W1" s="97" t="str">
        <x:v>前進検証_v1（出口ルール比較・再投資なし）</x:v>
      </x:c>
      <x:c r="X1" s="97" t="str">
        <x:v>前進検証_v1（出口ルール比較・再投資なし）</x:v>
      </x:c>
      <x:c r="Y1" s="97" t="str">
        <x:v>前進検証_v1（出口ルール比較・再投資なし）</x:v>
      </x:c>
      <x:c r="Z1" s="97" t="str">
        <x:v>前進検証_v1（出口ルール比較・再投資なし）</x:v>
      </x:c>
      <x:c r="AA1" s="97" t="str">
        <x:v>前進検証_v1（出口ルール比較・再投資なし）</x:v>
      </x:c>
    </x:row>
    <x:row r="2">
      <x:c r="A2" t="str">
        <x:v>基準日 2026-06-12終値／評価日 2026-06-19終値／往復コスト0.1%／保有中も評価日決済換算／青字セルが入力</x:v>
      </x:c>
    </x:row>
    <x:row r="4">
      <x:c r="A4" s="100" t="str">
        <x:v>■ 1建玉=1取引（部分利確は合算）</x:v>
      </x:c>
      <x:c r="B4" s="101" t="str">
        <x:v>■ 1建玉=1取引（部分利確は合算）</x:v>
      </x:c>
      <x:c r="C4" s="101" t="str">
        <x:v>■ 1建玉=1取引（部分利確は合算）</x:v>
      </x:c>
      <x:c r="D4" s="101" t="str">
        <x:v>■ 1建玉=1取引（部分利確は合算）</x:v>
      </x:c>
      <x:c r="E4" s="101" t="str">
        <x:v>■ 1建玉=1取引（部分利確は合算）</x:v>
      </x:c>
      <x:c r="F4" s="101" t="str">
        <x:v>■ 1建玉=1取引（部分利確は合算）</x:v>
      </x:c>
      <x:c r="G4" s="101" t="str">
        <x:v>■ 1建玉=1取引（部分利確は合算）</x:v>
      </x:c>
      <x:c r="H4" s="101" t="str">
        <x:v>■ 1建玉=1取引（部分利確は合算）</x:v>
      </x:c>
      <x:c r="I4" s="101" t="str">
        <x:v>■ 1建玉=1取引（部分利確は合算）</x:v>
      </x:c>
      <x:c r="J4" s="101" t="str">
        <x:v>■ 1建玉=1取引（部分利確は合算）</x:v>
      </x:c>
      <x:c r="K4" s="101" t="str">
        <x:v>■ 1建玉=1取引（部分利確は合算）</x:v>
      </x:c>
      <x:c r="L4" s="101" t="str">
        <x:v>■ 1建玉=1取引（部分利確は合算）</x:v>
      </x:c>
      <x:c r="M4" s="101" t="str">
        <x:v>■ 1建玉=1取引（部分利確は合算）</x:v>
      </x:c>
      <x:c r="N4" s="101" t="str">
        <x:v>■ 1建玉=1取引（部分利確は合算）</x:v>
      </x:c>
      <x:c r="O4" s="101" t="str">
        <x:v>■ 1建玉=1取引（部分利確は合算）</x:v>
      </x:c>
      <x:c r="P4" s="101" t="str">
        <x:v>■ 1建玉=1取引（部分利確は合算）</x:v>
      </x:c>
      <x:c r="Q4" s="101" t="str">
        <x:v>■ 1建玉=1取引（部分利確は合算）</x:v>
      </x:c>
      <x:c r="R4" s="101" t="str">
        <x:v>■ 1建玉=1取引（部分利確は合算）</x:v>
      </x:c>
      <x:c r="S4" s="101" t="str">
        <x:v>■ 1建玉=1取引（部分利確は合算）</x:v>
      </x:c>
      <x:c r="T4" s="101" t="str">
        <x:v>■ 1建玉=1取引（部分利確は合算）</x:v>
      </x:c>
      <x:c r="U4" s="101" t="str">
        <x:v>■ 1建玉=1取引（部分利確は合算）</x:v>
      </x:c>
      <x:c r="V4" s="101" t="str">
        <x:v>■ 1建玉=1取引（部分利確は合算）</x:v>
      </x:c>
      <x:c r="W4" s="101" t="str">
        <x:v>■ 1建玉=1取引（部分利確は合算）</x:v>
      </x:c>
      <x:c r="X4" s="101" t="str">
        <x:v>■ 1建玉=1取引（部分利確は合算）</x:v>
      </x:c>
      <x:c r="Y4" s="101" t="str">
        <x:v>■ 1建玉=1取引（部分利確は合算）</x:v>
      </x:c>
      <x:c r="Z4" s="101" t="str">
        <x:v>■ 1建玉=1取引（部分利確は合算）</x:v>
      </x:c>
      <x:c r="AA4" s="102" t="str">
        <x:v>■ 1建玉=1取引（部分利確は合算）</x:v>
      </x:c>
    </x:row>
    <x:row r="5">
      <x:c r="A5" s="107" t="str">
        <x:v>ID</x:v>
      </x:c>
      <x:c r="B5" s="107" t="str">
        <x:v>コード</x:v>
      </x:c>
      <x:c r="C5" s="107" t="str">
        <x:v>銘柄</x:v>
      </x:c>
      <x:c r="D5" s="107" t="str">
        <x:v>株数</x:v>
      </x:c>
      <x:c r="E5" s="107" t="str">
        <x:v>建値日</x:v>
      </x:c>
      <x:c r="F5" s="107" t="str">
        <x:v>建値</x:v>
      </x:c>
      <x:c r="G5" s="107" t="str">
        <x:v>第1利確</x:v>
      </x:c>
      <x:c r="H5" s="107" t="str">
        <x:v>発火判定日(終値)</x:v>
      </x:c>
      <x:c r="I5" s="107" t="str">
        <x:v>翌営業日</x:v>
      </x:c>
      <x:c r="J5" s="107" t="str">
        <x:v>翌日始値</x:v>
      </x:c>
      <x:c r="K5" s="107" t="str">
        <x:v>評価日終値</x:v>
      </x:c>
      <x:c r="L5" s="107" t="str">
        <x:v>期中最安値</x:v>
      </x:c>
      <x:c r="M5" s="107" t="str">
        <x:v>A決済値</x:v>
      </x:c>
      <x:c r="N5" s="107" t="str">
        <x:v>B決済値</x:v>
      </x:c>
      <x:c r="O5" s="107" t="str">
        <x:v>C半分決済値</x:v>
      </x:c>
      <x:c r="P5" s="107" t="str">
        <x:v>A粗損益</x:v>
      </x:c>
      <x:c r="Q5" s="107" t="str">
        <x:v>Aコスト</x:v>
      </x:c>
      <x:c r="R5" s="107" t="str">
        <x:v>A純損益</x:v>
      </x:c>
      <x:c r="S5" s="107" t="str">
        <x:v>B粗損益</x:v>
      </x:c>
      <x:c r="T5" s="107" t="str">
        <x:v>Bコスト</x:v>
      </x:c>
      <x:c r="U5" s="107" t="str">
        <x:v>B純損益</x:v>
      </x:c>
      <x:c r="V5" s="107" t="str">
        <x:v>C粗損益</x:v>
      </x:c>
      <x:c r="W5" s="107" t="str">
        <x:v>Cコスト</x:v>
      </x:c>
      <x:c r="X5" s="107" t="str">
        <x:v>C純損益</x:v>
      </x:c>
      <x:c r="Y5" s="107" t="str">
        <x:v>MAE</x:v>
      </x:c>
      <x:c r="Z5" s="107" t="str">
        <x:v>MAE判定</x:v>
      </x:c>
      <x:c r="AA5" s="107" t="str">
        <x:v>メモ</x:v>
      </x:c>
    </x:row>
    <x:row r="6">
      <x:c r="A6" s="111" t="n">
        <x:v>1</x:v>
      </x:c>
      <x:c r="B6" s="111" t="str">
        <x:v>8306</x:v>
      </x:c>
      <x:c r="C6" s="111" t="str">
        <x:v>三菱UFJ FG</x:v>
      </x:c>
      <x:c r="D6" s="111" t="n">
        <x:v>100</x:v>
      </x:c>
      <x:c r="E6" s="112" t="n">
        <x:v>46185</x:v>
      </x:c>
      <x:c r="F6" s="113" t="n">
        <x:v>3162</x:v>
      </x:c>
      <x:c r="G6" s="113" t="n">
        <x:v>3300</x:v>
      </x:c>
      <x:c r="H6" s="112" t="n">
        <x:v>46191</x:v>
      </x:c>
      <x:c r="I6" s="112" t="n">
        <x:v>46192</x:v>
      </x:c>
      <x:c r="J6" s="113" t="n">
        <x:v>3370</x:v>
      </x:c>
      <x:c r="K6" s="113" t="n">
        <x:v>3278</x:v>
      </x:c>
      <x:c r="L6" s="113" t="n">
        <x:v>3186</x:v>
      </x:c>
      <x:c r="M6" s="46" t="n">
        <x:f>IF(J6&lt;&gt;"",J6,K6)</x:f>
        <x:v>3370</x:v>
      </x:c>
      <x:c r="N6" s="46" t="n">
        <x:f>K6</x:f>
        <x:v>3278</x:v>
      </x:c>
      <x:c r="O6" s="46" t="n">
        <x:f>IF(J6&lt;&gt;"",J6,K6)</x:f>
        <x:v>3370</x:v>
      </x:c>
      <x:c r="P6" s="45" t="n">
        <x:f>(M6-F6)*D6</x:f>
        <x:v>20800</x:v>
      </x:c>
      <x:c r="Q6" s="45" t="n">
        <x:f>(F6*D6+M6*D6)*'ステップ2_ルール検証'!$B$8</x:f>
        <x:v>326.6</x:v>
      </x:c>
      <x:c r="R6" s="45" t="n">
        <x:f>P6-Q6</x:f>
        <x:v>20473.4</x:v>
      </x:c>
      <x:c r="S6" s="45" t="n">
        <x:f>(N6-F6)*D6</x:f>
        <x:v>11600</x:v>
      </x:c>
      <x:c r="T6" s="45" t="n">
        <x:f>(F6*D6+N6*D6)*'ステップ2_ルール検証'!$B$8</x:f>
        <x:v>322</x:v>
      </x:c>
      <x:c r="U6" s="45" t="n">
        <x:f>S6-T6</x:f>
        <x:v>11278</x:v>
      </x:c>
      <x:c r="V6" s="45" t="n">
        <x:f>IF(J6&lt;&gt;"",(O6-F6)*D6/2+(K6-F6)*D6/2,(K6-F6)*D6)</x:f>
        <x:v>16200</x:v>
      </x:c>
      <x:c r="W6" s="45" t="n">
        <x:f>(F6*D6+IF(J6&lt;&gt;"",O6*D6/2+K6*D6/2,K6*D6))*'ステップ2_ルール検証'!$B$8</x:f>
        <x:v>324.3</x:v>
      </x:c>
      <x:c r="X6" s="45" t="n">
        <x:f>V6-W6</x:f>
        <x:v>15875.7</x:v>
      </x:c>
      <x:c r="Y6" s="45" t="n">
        <x:f>MIN(0,(L6-F6)*D6)</x:f>
        <x:v>0</x:v>
      </x:c>
      <x:c r="Z6" s="114" t="str">
        <x:f>IF(Y6&lt;='ステップ2_ルール検証'!$B$11,"要注意","OK")</x:f>
        <x:v>OK</x:v>
      </x:c>
      <x:c r="AA6" s="42" t="str">
        <x:v>6/18終値で利確条件確認→6/19始値</x:v>
      </x:c>
    </x:row>
    <x:row r="7">
      <x:c r="A7" s="111" t="n">
        <x:v>2</x:v>
      </x:c>
      <x:c r="B7" s="111" t="str">
        <x:v>9433</x:v>
      </x:c>
      <x:c r="C7" s="111" t="str">
        <x:v>KDDI</x:v>
      </x:c>
      <x:c r="D7" s="111" t="n">
        <x:v>100</x:v>
      </x:c>
      <x:c r="E7" s="112" t="n">
        <x:v>46185</x:v>
      </x:c>
      <x:c r="F7" s="113" t="n">
        <x:v>2769</x:v>
      </x:c>
      <x:c r="G7" s="113" t="n">
        <x:v>2800</x:v>
      </x:c>
      <x:c r="H7" s="112"/>
      <x:c r="I7" s="112"/>
      <x:c r="J7" s="113"/>
      <x:c r="K7" s="113" t="n">
        <x:v>2721.5</x:v>
      </x:c>
      <x:c r="L7" s="113" t="n">
        <x:v>2670</x:v>
      </x:c>
      <x:c r="M7" s="46" t="n">
        <x:f>IF(J7&lt;&gt;"",J7,K7)</x:f>
        <x:v>2721.5</x:v>
      </x:c>
      <x:c r="N7" s="46" t="n">
        <x:f>K7</x:f>
        <x:v>2721.5</x:v>
      </x:c>
      <x:c r="O7" s="46" t="n">
        <x:f>IF(J7&lt;&gt;"",J7,K7)</x:f>
        <x:v>2721.5</x:v>
      </x:c>
      <x:c r="P7" s="45" t="n">
        <x:f>(M7-F7)*D7</x:f>
        <x:v>-4750</x:v>
      </x:c>
      <x:c r="Q7" s="45" t="n">
        <x:f>(F7*D7+M7*D7)*'ステップ2_ルール検証'!$B$8</x:f>
        <x:v>274.52500000000003</x:v>
      </x:c>
      <x:c r="R7" s="45" t="n">
        <x:f>P7-Q7</x:f>
        <x:v>-5024.525</x:v>
      </x:c>
      <x:c r="S7" s="45" t="n">
        <x:f>(N7-F7)*D7</x:f>
        <x:v>-4750</x:v>
      </x:c>
      <x:c r="T7" s="45" t="n">
        <x:f>(F7*D7+N7*D7)*'ステップ2_ルール検証'!$B$8</x:f>
        <x:v>274.52500000000003</x:v>
      </x:c>
      <x:c r="U7" s="45" t="n">
        <x:f>S7-T7</x:f>
        <x:v>-5024.525</x:v>
      </x:c>
      <x:c r="V7" s="45" t="n">
        <x:f>IF(J7&lt;&gt;"",(O7-F7)*D7/2+(K7-F7)*D7/2,(K7-F7)*D7)</x:f>
        <x:v>-4750</x:v>
      </x:c>
      <x:c r="W7" s="45" t="n">
        <x:f>(F7*D7+IF(J7&lt;&gt;"",O7*D7/2+K7*D7/2,K7*D7))*'ステップ2_ルール検証'!$B$8</x:f>
        <x:v>274.52500000000003</x:v>
      </x:c>
      <x:c r="X7" s="45" t="n">
        <x:f>V7-W7</x:f>
        <x:v>-5024.525</x:v>
      </x:c>
      <x:c r="Y7" s="45" t="n">
        <x:f>MIN(0,(L7-F7)*D7)</x:f>
        <x:v>-9900</x:v>
      </x:c>
      <x:c r="Z7" s="114" t="str">
        <x:f>IF(Y7&lt;='ステップ2_ルール検証'!$B$11,"要注意","OK")</x:f>
        <x:v>OK</x:v>
      </x:c>
      <x:c r="AA7" s="42" t="str">
        <x:v>条件未発火。評価日終値で決済換算</x:v>
      </x:c>
    </x:row>
    <x:row r="10">
      <x:c r="A10" s="100" t="str">
        <x:v>■ 日次資産曲線（終値DD主指標）</x:v>
      </x:c>
      <x:c r="B10" s="101" t="str">
        <x:v>■ 日次資産曲線（終値DD主指標）</x:v>
      </x:c>
      <x:c r="C10" s="101" t="str">
        <x:v>■ 日次資産曲線（終値DD主指標）</x:v>
      </x:c>
      <x:c r="D10" s="101" t="str">
        <x:v>■ 日次資産曲線（終値DD主指標）</x:v>
      </x:c>
      <x:c r="E10" s="101" t="str">
        <x:v>■ 日次資産曲線（終値DD主指標）</x:v>
      </x:c>
      <x:c r="F10" s="101" t="str">
        <x:v>■ 日次資産曲線（終値DD主指標）</x:v>
      </x:c>
      <x:c r="G10" s="101" t="str">
        <x:v>■ 日次資産曲線（終値DD主指標）</x:v>
      </x:c>
      <x:c r="H10" s="101" t="str">
        <x:v>■ 日次資産曲線（終値DD主指標）</x:v>
      </x:c>
      <x:c r="I10" s="101" t="str">
        <x:v>■ 日次資産曲線（終値DD主指標）</x:v>
      </x:c>
      <x:c r="J10" s="101" t="str">
        <x:v>■ 日次資産曲線（終値DD主指標）</x:v>
      </x:c>
      <x:c r="K10" s="101" t="str">
        <x:v>■ 日次資産曲線（終値DD主指標）</x:v>
      </x:c>
      <x:c r="L10" s="101" t="str">
        <x:v>■ 日次資産曲線（終値DD主指標）</x:v>
      </x:c>
      <x:c r="M10" s="101" t="str">
        <x:v>■ 日次資産曲線（終値DD主指標）</x:v>
      </x:c>
      <x:c r="N10" s="101" t="str">
        <x:v>■ 日次資産曲線（終値DD主指標）</x:v>
      </x:c>
      <x:c r="O10" s="101" t="str">
        <x:v>■ 日次資産曲線（終値DD主指標）</x:v>
      </x:c>
      <x:c r="P10" s="101" t="str">
        <x:v>■ 日次資産曲線（終値DD主指標）</x:v>
      </x:c>
      <x:c r="Q10" s="102" t="str">
        <x:v>■ 日次資産曲線（終値DD主指標）</x:v>
      </x:c>
    </x:row>
    <x:row r="11">
      <x:c r="A11" s="107" t="str">
        <x:v>日付</x:v>
      </x:c>
      <x:c r="B11" s="107" t="str">
        <x:v>8306終値</x:v>
      </x:c>
      <x:c r="C11" s="107" t="str">
        <x:v>9433終値</x:v>
      </x:c>
      <x:c r="D11" s="107" t="str">
        <x:v>日経終値</x:v>
      </x:c>
      <x:c r="E11" s="107" t="str">
        <x:v>A粗損益</x:v>
      </x:c>
      <x:c r="F11" s="107" t="str">
        <x:v>A純資産</x:v>
      </x:c>
      <x:c r="G11" s="107" t="str">
        <x:v>Aピーク</x:v>
      </x:c>
      <x:c r="H11" s="107" t="str">
        <x:v>A DD</x:v>
      </x:c>
      <x:c r="I11" s="107" t="str">
        <x:v>B粗損益</x:v>
      </x:c>
      <x:c r="J11" s="107" t="str">
        <x:v>B純資産</x:v>
      </x:c>
      <x:c r="K11" s="107" t="str">
        <x:v>Bピーク</x:v>
      </x:c>
      <x:c r="L11" s="107" t="str">
        <x:v>B DD</x:v>
      </x:c>
      <x:c r="M11" s="107" t="str">
        <x:v>C粗損益</x:v>
      </x:c>
      <x:c r="N11" s="107" t="str">
        <x:v>C純資産</x:v>
      </x:c>
      <x:c r="O11" s="107" t="str">
        <x:v>Cピーク</x:v>
      </x:c>
      <x:c r="P11" s="107" t="str">
        <x:v>C DD</x:v>
      </x:c>
      <x:c r="Q11" s="107" t="str">
        <x:v>日経リターン</x:v>
      </x:c>
    </x:row>
    <x:row r="12">
      <x:c r="A12" s="112" t="n">
        <x:v>46185</x:v>
      </x:c>
      <x:c r="B12" s="113" t="n">
        <x:v>3162</x:v>
      </x:c>
      <x:c r="C12" s="113" t="n">
        <x:v>2769</x:v>
      </x:c>
      <x:c r="D12" s="113" t="n">
        <x:v>66020.04</x:v>
      </x:c>
      <x:c r="E12" s="45" t="n">
        <x:f>(B12-3162)*100+(C12-2769)*100</x:f>
        <x:v>0</x:v>
      </x:c>
      <x:c r="F12" s="45" t="n">
        <x:f>SUMPRODUCT($D$6:$D$7,$F$6:$F$7)+E12-((3162*100+2769*100)+(B12*100+C12*100))*'ステップ2_ルール検証'!$B$8</x:f>
        <x:v>592506.9</x:v>
      </x:c>
      <x:c r="G12" s="45" t="n">
        <x:f>MAX($F$12:F12)</x:f>
        <x:v>592506.9</x:v>
      </x:c>
      <x:c r="H12" s="49" t="n">
        <x:f>F12/G12-1</x:f>
        <x:v>0</x:v>
      </x:c>
      <x:c r="I12" s="45" t="n">
        <x:f>(B12-3162)*100+(C12-2769)*100</x:f>
        <x:v>0</x:v>
      </x:c>
      <x:c r="J12" s="45" t="n">
        <x:f>SUMPRODUCT($D$6:$D$7,$F$6:$F$7)+I12-((3162*100+2769*100)+(B12*100+C12*100))*'ステップ2_ルール検証'!$B$8</x:f>
        <x:v>592506.9</x:v>
      </x:c>
      <x:c r="K12" s="45" t="n">
        <x:f>MAX($J$12:J12)</x:f>
        <x:v>592506.9</x:v>
      </x:c>
      <x:c r="L12" s="49" t="n">
        <x:f>J12/K12-1</x:f>
        <x:v>0</x:v>
      </x:c>
      <x:c r="M12" s="45" t="n">
        <x:f>(B12-3162)*100+(C12-2769)*100</x:f>
        <x:v>0</x:v>
      </x:c>
      <x:c r="N12" s="45" t="n">
        <x:f>SUMPRODUCT($D$6:$D$7,$F$6:$F$7)+M12-((3162*100+2769*100)+(B12*100+C12*100))*'ステップ2_ルール検証'!$B$8</x:f>
        <x:v>592506.9</x:v>
      </x:c>
      <x:c r="O12" s="45" t="n">
        <x:f>MAX($N$12:N12)</x:f>
        <x:v>592506.9</x:v>
      </x:c>
      <x:c r="P12" s="49" t="n">
        <x:f>N12/O12-1</x:f>
        <x:v>0</x:v>
      </x:c>
      <x:c r="Q12" s="49" t="n">
        <x:f>D12/$D$12-1</x:f>
        <x:v>0</x:v>
      </x:c>
    </x:row>
    <x:row r="13">
      <x:c r="A13" s="112" t="n">
        <x:v>46188</x:v>
      </x:c>
      <x:c r="B13" s="113" t="n">
        <x:v>3242</x:v>
      </x:c>
      <x:c r="C13" s="113" t="n">
        <x:v>2718</x:v>
      </x:c>
      <x:c r="D13" s="113" t="n">
        <x:v>68199.34</x:v>
      </x:c>
      <x:c r="E13" s="45" t="n">
        <x:f>(B13-3162)*100+(C13-2769)*100</x:f>
        <x:v>2900</x:v>
      </x:c>
      <x:c r="F13" s="45" t="n">
        <x:f>SUMPRODUCT($D$6:$D$7,$F$6:$F$7)+E13-((3162*100+2769*100)+(B13*100+C13*100))*'ステップ2_ルール検証'!$B$8</x:f>
        <x:v>595405.45</x:v>
      </x:c>
      <x:c r="G13" s="45" t="n">
        <x:f>MAX($F$12:F13)</x:f>
        <x:v>595405.45</x:v>
      </x:c>
      <x:c r="H13" s="49" t="n">
        <x:f>F13/G13-1</x:f>
        <x:v>0</x:v>
      </x:c>
      <x:c r="I13" s="45" t="n">
        <x:f>(B13-3162)*100+(C13-2769)*100</x:f>
        <x:v>2900</x:v>
      </x:c>
      <x:c r="J13" s="45" t="n">
        <x:f>SUMPRODUCT($D$6:$D$7,$F$6:$F$7)+I13-((3162*100+2769*100)+(B13*100+C13*100))*'ステップ2_ルール検証'!$B$8</x:f>
        <x:v>595405.45</x:v>
      </x:c>
      <x:c r="K13" s="45" t="n">
        <x:f>MAX($J$12:J13)</x:f>
        <x:v>595405.45</x:v>
      </x:c>
      <x:c r="L13" s="49" t="n">
        <x:f>J13/K13-1</x:f>
        <x:v>0</x:v>
      </x:c>
      <x:c r="M13" s="45" t="n">
        <x:f>(B13-3162)*100+(C13-2769)*100</x:f>
        <x:v>2900</x:v>
      </x:c>
      <x:c r="N13" s="45" t="n">
        <x:f>SUMPRODUCT($D$6:$D$7,$F$6:$F$7)+M13-((3162*100+2769*100)+(B13*100+C13*100))*'ステップ2_ルール検証'!$B$8</x:f>
        <x:v>595405.45</x:v>
      </x:c>
      <x:c r="O13" s="45" t="n">
        <x:f>MAX($N$12:N13)</x:f>
        <x:v>595405.45</x:v>
      </x:c>
      <x:c r="P13" s="49" t="n">
        <x:f>N13/O13-1</x:f>
        <x:v>0</x:v>
      </x:c>
      <x:c r="Q13" s="49" t="n">
        <x:f>D13/$D$12-1</x:f>
        <x:v>0.03300967403230892</x:v>
      </x:c>
    </x:row>
    <x:row r="14">
      <x:c r="A14" s="112" t="n">
        <x:v>46189</x:v>
      </x:c>
      <x:c r="B14" s="113" t="n">
        <x:v>3228</x:v>
      </x:c>
      <x:c r="C14" s="113" t="n">
        <x:v>2714.5</x:v>
      </x:c>
      <x:c r="D14" s="113" t="n">
        <x:v>69404.5</x:v>
      </x:c>
      <x:c r="E14" s="45" t="n">
        <x:f>(B14-3162)*100+(C14-2769)*100</x:f>
        <x:v>1150</x:v>
      </x:c>
      <x:c r="F14" s="45" t="n">
        <x:f>SUMPRODUCT($D$6:$D$7,$F$6:$F$7)+E14-((3162*100+2769*100)+(B14*100+C14*100))*'ステップ2_ルール検証'!$B$8</x:f>
        <x:v>593656.325</x:v>
      </x:c>
      <x:c r="G14" s="45" t="n">
        <x:f>MAX($F$12:F14)</x:f>
        <x:v>595405.45</x:v>
      </x:c>
      <x:c r="H14" s="49" t="n">
        <x:f>F14/G14-1</x:f>
        <x:v>-0.0029377040468809845</x:v>
      </x:c>
      <x:c r="I14" s="45" t="n">
        <x:f>(B14-3162)*100+(C14-2769)*100</x:f>
        <x:v>1150</x:v>
      </x:c>
      <x:c r="J14" s="45" t="n">
        <x:f>SUMPRODUCT($D$6:$D$7,$F$6:$F$7)+I14-((3162*100+2769*100)+(B14*100+C14*100))*'ステップ2_ルール検証'!$B$8</x:f>
        <x:v>593656.325</x:v>
      </x:c>
      <x:c r="K14" s="45" t="n">
        <x:f>MAX($J$12:J14)</x:f>
        <x:v>595405.45</x:v>
      </x:c>
      <x:c r="L14" s="49" t="n">
        <x:f>J14/K14-1</x:f>
        <x:v>-0.0029377040468809845</x:v>
      </x:c>
      <x:c r="M14" s="45" t="n">
        <x:f>(B14-3162)*100+(C14-2769)*100</x:f>
        <x:v>1150</x:v>
      </x:c>
      <x:c r="N14" s="45" t="n">
        <x:f>SUMPRODUCT($D$6:$D$7,$F$6:$F$7)+M14-((3162*100+2769*100)+(B14*100+C14*100))*'ステップ2_ルール検証'!$B$8</x:f>
        <x:v>593656.325</x:v>
      </x:c>
      <x:c r="O14" s="45" t="n">
        <x:f>MAX($N$12:N14)</x:f>
        <x:v>595405.45</x:v>
      </x:c>
      <x:c r="P14" s="49" t="n">
        <x:f>N14/O14-1</x:f>
        <x:v>-0.0029377040468809845</x:v>
      </x:c>
      <x:c r="Q14" s="49" t="n">
        <x:f>D14/$D$12-1</x:f>
        <x:v>0.051264131315279515</x:v>
      </x:c>
    </x:row>
    <x:row r="15">
      <x:c r="A15" s="112" t="n">
        <x:v>46190</x:v>
      </x:c>
      <x:c r="B15" s="113" t="n">
        <x:v>3272</x:v>
      </x:c>
      <x:c r="C15" s="113" t="n">
        <x:v>2728</x:v>
      </x:c>
      <x:c r="D15" s="113" t="n">
        <x:v>69902.25</x:v>
      </x:c>
      <x:c r="E15" s="45" t="n">
        <x:f>(B15-3162)*100+(C15-2769)*100</x:f>
        <x:v>6900</x:v>
      </x:c>
      <x:c r="F15" s="45" t="n">
        <x:f>SUMPRODUCT($D$6:$D$7,$F$6:$F$7)+E15-((3162*100+2769*100)+(B15*100+C15*100))*'ステップ2_ルール検証'!$B$8</x:f>
        <x:v>599403.45</x:v>
      </x:c>
      <x:c r="G15" s="45" t="n">
        <x:f>MAX($F$12:F15)</x:f>
        <x:v>599403.45</x:v>
      </x:c>
      <x:c r="H15" s="49" t="n">
        <x:f>F15/G15-1</x:f>
        <x:v>0</x:v>
      </x:c>
      <x:c r="I15" s="45" t="n">
        <x:f>(B15-3162)*100+(C15-2769)*100</x:f>
        <x:v>6900</x:v>
      </x:c>
      <x:c r="J15" s="45" t="n">
        <x:f>SUMPRODUCT($D$6:$D$7,$F$6:$F$7)+I15-((3162*100+2769*100)+(B15*100+C15*100))*'ステップ2_ルール検証'!$B$8</x:f>
        <x:v>599403.45</x:v>
      </x:c>
      <x:c r="K15" s="45" t="n">
        <x:f>MAX($J$12:J15)</x:f>
        <x:v>599403.45</x:v>
      </x:c>
      <x:c r="L15" s="49" t="n">
        <x:f>J15/K15-1</x:f>
        <x:v>0</x:v>
      </x:c>
      <x:c r="M15" s="45" t="n">
        <x:f>(B15-3162)*100+(C15-2769)*100</x:f>
        <x:v>6900</x:v>
      </x:c>
      <x:c r="N15" s="45" t="n">
        <x:f>SUMPRODUCT($D$6:$D$7,$F$6:$F$7)+M15-((3162*100+2769*100)+(B15*100+C15*100))*'ステップ2_ルール検証'!$B$8</x:f>
        <x:v>599403.45</x:v>
      </x:c>
      <x:c r="O15" s="45" t="n">
        <x:f>MAX($N$12:N15)</x:f>
        <x:v>599403.45</x:v>
      </x:c>
      <x:c r="P15" s="49" t="n">
        <x:f>N15/O15-1</x:f>
        <x:v>0</x:v>
      </x:c>
      <x:c r="Q15" s="49" t="n">
        <x:f>D15/$D$12-1</x:f>
        <x:v>0.05880350875279694</x:v>
      </x:c>
    </x:row>
    <x:row r="16">
      <x:c r="A16" s="112" t="n">
        <x:v>46191</x:v>
      </x:c>
      <x:c r="B16" s="113" t="n">
        <x:v>3374</x:v>
      </x:c>
      <x:c r="C16" s="113" t="n">
        <x:v>2715.5</x:v>
      </x:c>
      <x:c r="D16" s="113" t="n">
        <x:v>71053.49</x:v>
      </x:c>
      <x:c r="E16" s="45" t="n">
        <x:f>(B16-3162)*100+(C16-2769)*100</x:f>
        <x:v>15850</x:v>
      </x:c>
      <x:c r="F16" s="45" t="n">
        <x:f>SUMPRODUCT($D$6:$D$7,$F$6:$F$7)+E16-((3162*100+2769*100)+(B16*100+C16*100))*'ステップ2_ルール検証'!$B$8</x:f>
        <x:v>608348.975</x:v>
      </x:c>
      <x:c r="G16" s="45" t="n">
        <x:f>MAX($F$12:F16)</x:f>
        <x:v>608348.975</x:v>
      </x:c>
      <x:c r="H16" s="49" t="n">
        <x:f>F16/G16-1</x:f>
        <x:v>0</x:v>
      </x:c>
      <x:c r="I16" s="45" t="n">
        <x:f>(B16-3162)*100+(C16-2769)*100</x:f>
        <x:v>15850</x:v>
      </x:c>
      <x:c r="J16" s="45" t="n">
        <x:f>SUMPRODUCT($D$6:$D$7,$F$6:$F$7)+I16-((3162*100+2769*100)+(B16*100+C16*100))*'ステップ2_ルール検証'!$B$8</x:f>
        <x:v>608348.975</x:v>
      </x:c>
      <x:c r="K16" s="45" t="n">
        <x:f>MAX($J$12:J16)</x:f>
        <x:v>608348.975</x:v>
      </x:c>
      <x:c r="L16" s="49" t="n">
        <x:f>J16/K16-1</x:f>
        <x:v>0</x:v>
      </x:c>
      <x:c r="M16" s="45" t="n">
        <x:f>(B16-3162)*100+(C16-2769)*100</x:f>
        <x:v>15850</x:v>
      </x:c>
      <x:c r="N16" s="45" t="n">
        <x:f>SUMPRODUCT($D$6:$D$7,$F$6:$F$7)+M16-((3162*100+2769*100)+(B16*100+C16*100))*'ステップ2_ルール検証'!$B$8</x:f>
        <x:v>608348.975</x:v>
      </x:c>
      <x:c r="O16" s="45" t="n">
        <x:f>MAX($N$12:N16)</x:f>
        <x:v>608348.975</x:v>
      </x:c>
      <x:c r="P16" s="49" t="n">
        <x:f>N16/O16-1</x:f>
        <x:v>0</x:v>
      </x:c>
      <x:c r="Q16" s="49" t="n">
        <x:f>D16/$D$12-1</x:f>
        <x:v>0.07624124432520807</x:v>
      </x:c>
    </x:row>
    <x:row r="17">
      <x:c r="A17" s="112" t="n">
        <x:v>46192</x:v>
      </x:c>
      <x:c r="B17" s="113" t="n">
        <x:v>3278</x:v>
      </x:c>
      <x:c r="C17" s="113" t="n">
        <x:v>2721.5</x:v>
      </x:c>
      <x:c r="D17" s="113" t="n">
        <x:v>71250.06</x:v>
      </x:c>
      <x:c r="E17" s="45" t="n">
        <x:f>(3370-3162)*100+(C17-2769)*100</x:f>
        <x:v>16050</x:v>
      </x:c>
      <x:c r="F17" s="45" t="n">
        <x:f>SUMPRODUCT($D$6:$D$7,$F$6:$F$7)+$E17-((3162*100+2769*100)+(3370*100+C17*100))*'ステップ2_ルール検証'!$B$8</x:f>
        <x:v>608548.875</x:v>
      </x:c>
      <x:c r="G17" s="45" t="n">
        <x:f>MAX($F$12:F17)</x:f>
        <x:v>608548.875</x:v>
      </x:c>
      <x:c r="H17" s="49" t="n">
        <x:f>F17/G17-1</x:f>
        <x:v>0</x:v>
      </x:c>
      <x:c r="I17" s="45" t="n">
        <x:f>(B17-3162)*100+(C17-2769)*100</x:f>
        <x:v>6850</x:v>
      </x:c>
      <x:c r="J17" s="45" t="n">
        <x:f>SUMPRODUCT($D$6:$D$7,$F$6:$F$7)+I17-((3162*100+2769*100)+(B17*100+C17*100))*'ステップ2_ルール検証'!$B$8</x:f>
        <x:v>599353.475</x:v>
      </x:c>
      <x:c r="K17" s="45" t="n">
        <x:f>MAX($J$12:J17)</x:f>
        <x:v>608348.975</x:v>
      </x:c>
      <x:c r="L17" s="49" t="n">
        <x:f>J17/K17-1</x:f>
        <x:v>-0.014786743086071641</x:v>
      </x:c>
      <x:c r="M17" s="45" t="n">
        <x:f>(3370-3162)*50+(B17-3162)*50+(C17-2769)*100</x:f>
        <x:v>11450</x:v>
      </x:c>
      <x:c r="N17" s="45" t="n">
        <x:f>SUMPRODUCT($D$6:$D$7,$F$6:$F$7)+M17-((3162*100+2769*100)+(3370*50+B17*50+C17*100))*'ステップ2_ルール検証'!$B$8</x:f>
        <x:v>603951.175</x:v>
      </x:c>
      <x:c r="O17" s="45" t="n">
        <x:f>MAX($N$12:N17)</x:f>
        <x:v>608348.975</x:v>
      </x:c>
      <x:c r="P17" s="49" t="n">
        <x:f>N17/O17-1</x:f>
        <x:v>-0.0072290743976348715</x:v>
      </x:c>
      <x:c r="Q17" s="49" t="n">
        <x:f>D17/$D$12-1</x:f>
        <x:v>0.07921867360274248</x:v>
      </x:c>
    </x:row>
    <x:row r="20">
      <x:c r="A20" s="100" t="str">
        <x:v>■ 補助：日中安値・MAE</x:v>
      </x:c>
      <x:c r="B20" s="101" t="str">
        <x:v>■ 補助：日中安値・MAE</x:v>
      </x:c>
      <x:c r="C20" s="101" t="str">
        <x:v>■ 補助：日中安値・MAE</x:v>
      </x:c>
      <x:c r="D20" s="101" t="str">
        <x:v>■ 補助：日中安値・MAE</x:v>
      </x:c>
      <x:c r="E20" s="101" t="str">
        <x:v>■ 補助：日中安値・MAE</x:v>
      </x:c>
      <x:c r="F20" s="101" t="str">
        <x:v>■ 補助：日中安値・MAE</x:v>
      </x:c>
      <x:c r="G20" s="101" t="str">
        <x:v>■ 補助：日中安値・MAE</x:v>
      </x:c>
      <x:c r="H20" s="101" t="str">
        <x:v>■ 補助：日中安値・MAE</x:v>
      </x:c>
      <x:c r="I20" s="101" t="str">
        <x:v>■ 補助：日中安値・MAE</x:v>
      </x:c>
      <x:c r="J20" s="101" t="str">
        <x:v>■ 補助：日中安値・MAE</x:v>
      </x:c>
      <x:c r="K20" s="102" t="str">
        <x:v>■ 補助：日中安値・MAE</x:v>
      </x:c>
    </x:row>
    <x:row r="21">
      <x:c r="A21" s="107" t="str">
        <x:v>日付</x:v>
      </x:c>
      <x:c r="B21" s="107" t="str">
        <x:v>8306安値</x:v>
      </x:c>
      <x:c r="C21" s="107" t="str">
        <x:v>9433安値</x:v>
      </x:c>
      <x:c r="D21" s="107" t="str">
        <x:v>8306 MAE</x:v>
      </x:c>
      <x:c r="E21" s="107" t="str">
        <x:v>9433 MAE</x:v>
      </x:c>
      <x:c r="F21" s="107" t="str">
        <x:v>合計日中逆行</x:v>
      </x:c>
      <x:c r="G21" s="107" t="str">
        <x:v>備考</x:v>
      </x:c>
      <x:c r="H21"/>
      <x:c r="I21"/>
      <x:c r="J21"/>
      <x:c r="K21"/>
    </x:row>
    <x:row r="22">
      <x:c r="A22" s="112" t="n">
        <x:v>46185</x:v>
      </x:c>
      <x:c r="B22" s="111"/>
      <x:c r="C22" s="111"/>
      <x:c r="D22" s="45" t="n">
        <x:v>0</x:v>
      </x:c>
      <x:c r="E22" s="45" t="n">
        <x:v>0</x:v>
      </x:c>
      <x:c r="F22" s="45" t="n">
        <x:v>0</x:v>
      </x:c>
      <x:c r="G22" s="42" t="str">
        <x:v>建値は終値のため同日安値は建後MAEに含めない</x:v>
      </x:c>
      <x:c r="H22"/>
      <x:c r="I22"/>
      <x:c r="J22"/>
      <x:c r="K22"/>
    </x:row>
    <x:row r="23">
      <x:c r="A23" s="112" t="n">
        <x:v>46188</x:v>
      </x:c>
      <x:c r="B23" s="113" t="n">
        <x:v>3225</x:v>
      </x:c>
      <x:c r="C23" s="113" t="n">
        <x:v>2701.5</x:v>
      </x:c>
      <x:c r="D23" s="45" t="n">
        <x:f>MIN(0,(B23-$F$6)*$D$6)</x:f>
        <x:v>0</x:v>
      </x:c>
      <x:c r="E23" s="45" t="n">
        <x:f>MIN(0,(C23-$F$7)*$D$7)</x:f>
        <x:v>-6750</x:v>
      </x:c>
      <x:c r="F23" s="45" t="n">
        <x:f>D23+E23</x:f>
        <x:v>-6750</x:v>
      </x:c>
      <x:c r="G23" s="42"/>
      <x:c r="H23"/>
      <x:c r="I23"/>
      <x:c r="J23"/>
      <x:c r="K23"/>
    </x:row>
    <x:row r="24">
      <x:c r="A24" s="112" t="n">
        <x:v>46189</x:v>
      </x:c>
      <x:c r="B24" s="113" t="n">
        <x:v>3186</x:v>
      </x:c>
      <x:c r="C24" s="113" t="n">
        <x:v>2670</x:v>
      </x:c>
      <x:c r="D24" s="45" t="n">
        <x:f>MIN(0,(B24-$F$6)*$D$6)</x:f>
        <x:v>0</x:v>
      </x:c>
      <x:c r="E24" s="45" t="n">
        <x:f>MIN(0,(C24-$F$7)*$D$7)</x:f>
        <x:v>-9900</x:v>
      </x:c>
      <x:c r="F24" s="45" t="n">
        <x:f>D24+E24</x:f>
        <x:v>-9900</x:v>
      </x:c>
      <x:c r="G24" s="42"/>
      <x:c r="H24"/>
      <x:c r="I24"/>
      <x:c r="J24"/>
      <x:c r="K24"/>
    </x:row>
    <x:row r="25">
      <x:c r="A25" s="112" t="n">
        <x:v>46190</x:v>
      </x:c>
      <x:c r="B25" s="113" t="n">
        <x:v>3260</x:v>
      </x:c>
      <x:c r="C25" s="113" t="n">
        <x:v>2708.5</x:v>
      </x:c>
      <x:c r="D25" s="45" t="n">
        <x:f>MIN(0,(B25-$F$6)*$D$6)</x:f>
        <x:v>0</x:v>
      </x:c>
      <x:c r="E25" s="45" t="n">
        <x:f>MIN(0,(C25-$F$7)*$D$7)</x:f>
        <x:v>-6050</x:v>
      </x:c>
      <x:c r="F25" s="45" t="n">
        <x:f>D25+E25</x:f>
        <x:v>-6050</x:v>
      </x:c>
      <x:c r="G25" s="42"/>
      <x:c r="H25"/>
      <x:c r="I25"/>
      <x:c r="J25"/>
      <x:c r="K25"/>
    </x:row>
    <x:row r="26">
      <x:c r="A26" s="112" t="n">
        <x:v>46191</x:v>
      </x:c>
      <x:c r="B26" s="113" t="n">
        <x:v>3317</x:v>
      </x:c>
      <x:c r="C26" s="113" t="n">
        <x:v>2688.5</x:v>
      </x:c>
      <x:c r="D26" s="45" t="n">
        <x:f>MIN(0,(B26-$F$6)*$D$6)</x:f>
        <x:v>0</x:v>
      </x:c>
      <x:c r="E26" s="45" t="n">
        <x:f>MIN(0,(C26-$F$7)*$D$7)</x:f>
        <x:v>-8050</x:v>
      </x:c>
      <x:c r="F26" s="45" t="n">
        <x:f>D26+E26</x:f>
        <x:v>-8050</x:v>
      </x:c>
      <x:c r="G26" s="42"/>
      <x:c r="H26"/>
      <x:c r="I26"/>
      <x:c r="J26"/>
      <x:c r="K26"/>
    </x:row>
    <x:row r="27">
      <x:c r="A27" s="112" t="n">
        <x:v>46192</x:v>
      </x:c>
      <x:c r="B27" s="113" t="n">
        <x:v>3258</x:v>
      </x:c>
      <x:c r="C27" s="113" t="n">
        <x:v>2681.5</x:v>
      </x:c>
      <x:c r="D27" s="45" t="n">
        <x:f>MIN(0,(B27-$F$6)*$D$6)</x:f>
        <x:v>0</x:v>
      </x:c>
      <x:c r="E27" s="45" t="n">
        <x:f>MIN(0,(C27-$F$7)*$D$7)</x:f>
        <x:v>-8750</x:v>
      </x:c>
      <x:c r="F27" s="45" t="n">
        <x:f>D27+E27</x:f>
        <x:v>-8750</x:v>
      </x:c>
      <x:c r="G27" s="42"/>
      <x:c r="H27"/>
      <x:c r="I27"/>
      <x:c r="J27"/>
      <x:c r="K27"/>
    </x:row>
    <x:row r="30">
      <x:c r="A30" s="100" t="str">
        <x:v>■ 集計（メインシート参照先）</x:v>
      </x:c>
      <x:c r="B30" s="101" t="str">
        <x:v>■ 集計（メインシート参照先）</x:v>
      </x:c>
      <x:c r="C30" s="101" t="str">
        <x:v>■ 集計（メインシート参照先）</x:v>
      </x:c>
      <x:c r="D30" s="101" t="str">
        <x:v>■ 集計（メインシート参照先）</x:v>
      </x:c>
      <x:c r="E30" s="101" t="str">
        <x:v>■ 集計（メインシート参照先）</x:v>
      </x:c>
      <x:c r="F30" s="101" t="str">
        <x:v>■ 集計（メインシート参照先）</x:v>
      </x:c>
      <x:c r="G30" s="101" t="str">
        <x:v>■ 集計（メインシート参照先）</x:v>
      </x:c>
      <x:c r="H30" s="101" t="str">
        <x:v>■ 集計（メインシート参照先）</x:v>
      </x:c>
      <x:c r="I30" s="101" t="str">
        <x:v>■ 集計（メインシート参照先）</x:v>
      </x:c>
      <x:c r="J30" s="101" t="str">
        <x:v>■ 集計（メインシート参照先）</x:v>
      </x:c>
      <x:c r="K30" s="102" t="str">
        <x:v>■ 集計（メインシート参照先）</x:v>
      </x:c>
    </x:row>
    <x:row r="31">
      <x:c r="A31" s="107" t="str">
        <x:v>項目</x:v>
      </x:c>
      <x:c r="B31" s="107" t="str">
        <x:v>A</x:v>
      </x:c>
      <x:c r="C31" s="107" t="str">
        <x:v>B</x:v>
      </x:c>
      <x:c r="D31" s="107" t="str">
        <x:v>C</x:v>
      </x:c>
      <x:c r="E31"/>
      <x:c r="F31"/>
      <x:c r="G31"/>
      <x:c r="H31"/>
      <x:c r="I31"/>
      <x:c r="J31"/>
      <x:c r="K31"/>
    </x:row>
    <x:row r="32">
      <x:c r="A32" s="42" t="str">
        <x:v>投下資金</x:v>
      </x:c>
      <x:c r="B32" s="45" t="n">
        <x:f>SUMPRODUCT($D$6:$D$7,$F$6:$F$7)</x:f>
        <x:v>593100</x:v>
      </x:c>
      <x:c r="C32" s="45" t="n">
        <x:f>B32</x:f>
        <x:v>593100</x:v>
      </x:c>
      <x:c r="D32" s="45" t="n">
        <x:f>B32</x:f>
        <x:v>593100</x:v>
      </x:c>
      <x:c r="E32"/>
      <x:c r="F32"/>
      <x:c r="G32"/>
      <x:c r="H32"/>
      <x:c r="I32"/>
      <x:c r="J32"/>
      <x:c r="K32"/>
    </x:row>
    <x:row r="33">
      <x:c r="A33" s="42" t="str">
        <x:v>総損益</x:v>
      </x:c>
      <x:c r="B33" s="45" t="n">
        <x:f>SUM($R$6:$R$7)</x:f>
        <x:v>15448.875000000002</x:v>
      </x:c>
      <x:c r="C33" s="45" t="n">
        <x:f>SUM($U$6:$U$7)</x:f>
        <x:v>6253.475</x:v>
      </x:c>
      <x:c r="D33" s="45" t="n">
        <x:f>SUM($X$6:$X$7)</x:f>
        <x:v>10851.175000000001</x:v>
      </x:c>
      <x:c r="E33"/>
      <x:c r="F33"/>
      <x:c r="G33"/>
      <x:c r="H33"/>
      <x:c r="I33"/>
      <x:c r="J33"/>
      <x:c r="K33"/>
    </x:row>
    <x:row r="34">
      <x:c r="A34" s="42" t="str">
        <x:v>対投下リターン</x:v>
      </x:c>
      <x:c r="B34" s="49" t="n">
        <x:f>B33/B32</x:f>
        <x:v>0.026047673242286296</x:v>
      </x:c>
      <x:c r="C34" s="49" t="n">
        <x:f>C33/C32</x:f>
        <x:v>0.010543711009947733</x:v>
      </x:c>
      <x:c r="D34" s="49" t="n">
        <x:f>D33/D32</x:f>
        <x:v>0.018295692126117015</x:v>
      </x:c>
      <x:c r="E34"/>
      <x:c r="F34"/>
      <x:c r="G34"/>
      <x:c r="H34"/>
      <x:c r="I34"/>
      <x:c r="J34"/>
      <x:c r="K34"/>
    </x:row>
    <x:row r="35">
      <x:c r="A35" s="42" t="str">
        <x:v>最大DD</x:v>
      </x:c>
      <x:c r="B35" s="49" t="n">
        <x:f>MIN($H$12:$H$17)</x:f>
        <x:v>-0.0029377040468809845</x:v>
      </x:c>
      <x:c r="C35" s="49" t="n">
        <x:f>MIN($L$12:$L$17)</x:f>
        <x:v>-0.014786743086071641</x:v>
      </x:c>
      <x:c r="D35" s="49" t="n">
        <x:f>MIN($P$12:$P$17)</x:f>
        <x:v>-0.0072290743976348715</x:v>
      </x:c>
      <x:c r="E35"/>
      <x:c r="F35"/>
      <x:c r="G35"/>
      <x:c r="H35"/>
      <x:c r="I35"/>
      <x:c r="J35"/>
      <x:c r="K35"/>
    </x:row>
    <x:row r="36">
      <x:c r="A36" s="42" t="str">
        <x:v>DD判定</x:v>
      </x:c>
      <x:c r="B36" s="42" t="str">
        <x:f>IF(B35&lt;='ステップ2_ルール検証'!$B$10,"失格候補",IF(B35&lt;='ステップ2_ルール検証'!$B$9,"警告","OK"))</x:f>
        <x:v>OK</x:v>
      </x:c>
      <x:c r="C36" s="42" t="str">
        <x:f>IF(C35&lt;='ステップ2_ルール検証'!$B$10,"失格候補",IF(C35&lt;='ステップ2_ルール検証'!$B$9,"警告","OK"))</x:f>
        <x:v>OK</x:v>
      </x:c>
      <x:c r="D36" s="42" t="str">
        <x:f>IF(D35&lt;='ステップ2_ルール検証'!$B$10,"失格候補",IF(D35&lt;='ステップ2_ルール検証'!$B$9,"警告","OK"))</x:f>
        <x:v>OK</x:v>
      </x:c>
      <x:c r="E36"/>
      <x:c r="F36"/>
      <x:c r="G36"/>
      <x:c r="H36"/>
      <x:c r="I36"/>
      <x:c r="J36"/>
      <x:c r="K36"/>
    </x:row>
    <x:row r="37">
      <x:c r="A37" s="42" t="str">
        <x:v>日経リターン</x:v>
      </x:c>
      <x:c r="B37" s="49" t="n">
        <x:f>$Q$17</x:f>
        <x:v>0.07921867360274248</x:v>
      </x:c>
      <x:c r="C37" s="49" t="n">
        <x:f>$Q$17</x:f>
        <x:v>0.07921867360274248</x:v>
      </x:c>
      <x:c r="D37" s="49" t="n">
        <x:f>$Q$17</x:f>
        <x:v>0.07921867360274248</x:v>
      </x:c>
      <x:c r="E37"/>
      <x:c r="F37"/>
      <x:c r="G37"/>
      <x:c r="H37"/>
      <x:c r="I37"/>
      <x:c r="J37"/>
      <x:c r="K37"/>
    </x:row>
    <x:row r="38">
      <x:c r="A38" s="42" t="str">
        <x:v>超過リターン</x:v>
      </x:c>
      <x:c r="B38" s="49" t="n">
        <x:f>B34-B37</x:f>
        <x:v>-0.05317100036045619</x:v>
      </x:c>
      <x:c r="C38" s="49" t="n">
        <x:f>C34-C37</x:f>
        <x:v>-0.06867496259279475</x:v>
      </x:c>
      <x:c r="D38" s="49" t="n">
        <x:f>D34-D37</x:f>
        <x:v>-0.06092298147662547</x:v>
      </x:c>
      <x:c r="E38"/>
      <x:c r="F38"/>
      <x:c r="G38"/>
      <x:c r="H38"/>
      <x:c r="I38"/>
      <x:c r="J38"/>
      <x:c r="K38"/>
    </x:row>
    <x:row r="39">
      <x:c r="A39" s="42" t="str">
        <x:v>期待値/取引</x:v>
      </x:c>
      <x:c r="B39" s="45" t="n">
        <x:f>AVERAGE($R$6:$R$7)</x:f>
        <x:v>7724.437500000001</x:v>
      </x:c>
      <x:c r="C39" s="45" t="n">
        <x:f>AVERAGE($U$6:$U$7)</x:f>
        <x:v>3126.7375</x:v>
      </x:c>
      <x:c r="D39" s="45" t="n">
        <x:f>AVERAGE($X$6:$X$7)</x:f>
        <x:v>5425.587500000001</x:v>
      </x:c>
      <x:c r="E39"/>
      <x:c r="F39"/>
      <x:c r="G39"/>
      <x:c r="H39"/>
      <x:c r="I39"/>
      <x:c r="J39"/>
      <x:c r="K39"/>
    </x:row>
    <x:row r="40">
      <x:c r="A40" s="42" t="str">
        <x:v>実現損益比</x:v>
      </x:c>
      <x:c r="B40" s="50" t="n">
        <x:f>IFERROR(AVERAGEIF($R$6:$R$7,"&gt;0")/ABS(AVERAGEIF($R$6:$R$7,"&lt;0")),0)</x:f>
        <x:v>4.074693627755858</x:v>
      </x:c>
      <x:c r="C40" s="50" t="n">
        <x:f>IFERROR(AVERAGEIF($U$6:$U$7,"&gt;0")/ABS(AVERAGEIF($U$6:$U$7,"&lt;0")),0)</x:f>
        <x:v>2.2445902846537735</x:v>
      </x:c>
      <x:c r="D40" s="50" t="n">
        <x:f>IFERROR(AVERAGEIF($X$6:$X$7,"&gt;0")/ABS(AVERAGEIF($X$6:$X$7,"&lt;0")),0)</x:f>
        <x:v>3.159641956204816</x:v>
      </x:c>
      <x:c r="E40"/>
      <x:c r="F40"/>
      <x:c r="G40"/>
      <x:c r="H40"/>
      <x:c r="I40"/>
      <x:c r="J40"/>
      <x:c r="K40"/>
    </x:row>
    <x:row r="41">
      <x:c r="A41" s="42" t="str">
        <x:v>勝率</x:v>
      </x:c>
      <x:c r="B41" s="69" t="n">
        <x:f>COUNTIF($R$6:$R$7,"&gt;0")/COUNT($R$6:$R$7)</x:f>
        <x:v>0.5</x:v>
      </x:c>
      <x:c r="C41" s="69" t="n">
        <x:f>COUNTIF($U$6:$U$7,"&gt;0")/COUNT($U$6:$U$7)</x:f>
        <x:v>0.5</x:v>
      </x:c>
      <x:c r="D41" s="69" t="n">
        <x:f>COUNTIF($X$6:$X$7,"&gt;0")/COUNT($X$6:$X$7)</x:f>
        <x:v>0.5</x:v>
      </x:c>
      <x:c r="E41"/>
      <x:c r="F41" s="107" t="str">
        <x:v>群</x:v>
      </x:c>
      <x:c r="G41" s="107" t="str">
        <x:v>総損益</x:v>
      </x:c>
      <x:c r="H41" s="107" t="str">
        <x:v>リターン</x:v>
      </x:c>
      <x:c r="I41" s="107" t="str">
        <x:v>最大DD</x:v>
      </x:c>
      <x:c r="J41" s="107" t="str">
        <x:v>DD判定</x:v>
      </x:c>
      <x:c r="K41" s="107" t="str">
        <x:v>日経</x:v>
      </x:c>
      <x:c r="L41" s="107" t="str">
        <x:v>超過</x:v>
      </x:c>
      <x:c r="M41" s="107" t="str">
        <x:v>期待値</x:v>
      </x:c>
      <x:c r="N41" s="107" t="str">
        <x:v>損益比</x:v>
      </x:c>
      <x:c r="O41" s="107" t="str">
        <x:v>勝率</x:v>
      </x:c>
      <x:c r="P41" s="107" t="str">
        <x:v>n</x:v>
      </x:c>
    </x:row>
    <x:row r="42">
      <x:c r="A42" s="42" t="str">
        <x:v>n</x:v>
      </x:c>
      <x:c r="B42" s="42" t="n">
        <x:f>COUNT($R$6:$R$7)</x:f>
        <x:v>2</x:v>
      </x:c>
      <x:c r="C42" s="42" t="n">
        <x:f>COUNT($U$6:$U$7)</x:f>
        <x:v>2</x:v>
      </x:c>
      <x:c r="D42" s="42" t="n">
        <x:f>COUNT($X$6:$X$7)</x:f>
        <x:v>2</x:v>
      </x:c>
      <x:c r="E42"/>
      <x:c r="F42" s="42" t="str">
        <x:v>A</x:v>
      </x:c>
      <x:c r="G42" s="45" t="n">
        <x:f>B$33</x:f>
        <x:v>15448.875000000002</x:v>
      </x:c>
      <x:c r="H42" s="49" t="n">
        <x:f>B$34</x:f>
        <x:v>0.026047673242286296</x:v>
      </x:c>
      <x:c r="I42" s="49" t="n">
        <x:f>B$35</x:f>
        <x:v>-0.0029377040468809845</x:v>
      </x:c>
      <x:c r="J42" s="49" t="str">
        <x:f>B$36</x:f>
        <x:v>OK</x:v>
      </x:c>
      <x:c r="K42" s="49" t="n">
        <x:f>B$37</x:f>
        <x:v>0.07921867360274248</x:v>
      </x:c>
      <x:c r="L42" s="49" t="n">
        <x:f>B$38</x:f>
        <x:v>-0.05317100036045619</x:v>
      </x:c>
      <x:c r="M42" s="45" t="n">
        <x:f>B$39</x:f>
        <x:v>7724.437500000001</x:v>
      </x:c>
      <x:c r="N42" s="50" t="n">
        <x:f>B$40</x:f>
        <x:v>4.074693627755858</x:v>
      </x:c>
      <x:c r="O42" s="69" t="n">
        <x:f>B$41</x:f>
        <x:v>0.5</x:v>
      </x:c>
      <x:c r="P42" s="42" t="n">
        <x:f>B$42</x:f>
        <x:v>2</x:v>
      </x:c>
    </x:row>
    <x:row r="43">
      <x:c r="A43"/>
      <x:c r="B43"/>
      <x:c r="C43"/>
      <x:c r="D43"/>
      <x:c r="E43"/>
      <x:c r="F43" s="42" t="str">
        <x:v>B</x:v>
      </x:c>
      <x:c r="G43" s="45" t="n">
        <x:f>C$33</x:f>
        <x:v>6253.475</x:v>
      </x:c>
      <x:c r="H43" s="49" t="n">
        <x:f>C$34</x:f>
        <x:v>0.010543711009947733</x:v>
      </x:c>
      <x:c r="I43" s="49" t="n">
        <x:f>C$35</x:f>
        <x:v>-0.014786743086071641</x:v>
      </x:c>
      <x:c r="J43" s="49" t="str">
        <x:f>C$36</x:f>
        <x:v>OK</x:v>
      </x:c>
      <x:c r="K43" s="49" t="n">
        <x:f>C$37</x:f>
        <x:v>0.07921867360274248</x:v>
      </x:c>
      <x:c r="L43" s="49" t="n">
        <x:f>C$38</x:f>
        <x:v>-0.06867496259279475</x:v>
      </x:c>
      <x:c r="M43" s="45" t="n">
        <x:f>C$39</x:f>
        <x:v>3126.7375</x:v>
      </x:c>
      <x:c r="N43" s="50" t="n">
        <x:f>C$40</x:f>
        <x:v>2.2445902846537735</x:v>
      </x:c>
      <x:c r="O43" s="69" t="n">
        <x:f>C$41</x:f>
        <x:v>0.5</x:v>
      </x:c>
      <x:c r="P43" s="42" t="n">
        <x:f>C$42</x:f>
        <x:v>2</x:v>
      </x:c>
    </x:row>
    <x:row r="44">
      <x:c r="A44"/>
      <x:c r="B44"/>
      <x:c r="C44"/>
      <x:c r="D44"/>
      <x:c r="E44"/>
      <x:c r="F44" s="42" t="str">
        <x:v>C</x:v>
      </x:c>
      <x:c r="G44" s="45" t="n">
        <x:f>D$33</x:f>
        <x:v>10851.175000000001</x:v>
      </x:c>
      <x:c r="H44" s="49" t="n">
        <x:f>D$34</x:f>
        <x:v>0.018295692126117015</x:v>
      </x:c>
      <x:c r="I44" s="49" t="n">
        <x:f>D$35</x:f>
        <x:v>-0.0072290743976348715</x:v>
      </x:c>
      <x:c r="J44" s="49" t="str">
        <x:f>D$36</x:f>
        <x:v>OK</x:v>
      </x:c>
      <x:c r="K44" s="49" t="n">
        <x:f>D$37</x:f>
        <x:v>0.07921867360274248</x:v>
      </x:c>
      <x:c r="L44" s="49" t="n">
        <x:f>D$38</x:f>
        <x:v>-0.06092298147662547</x:v>
      </x:c>
      <x:c r="M44" s="45" t="n">
        <x:f>D$39</x:f>
        <x:v>5425.587500000001</x:v>
      </x:c>
      <x:c r="N44" s="50" t="n">
        <x:f>D$40</x:f>
        <x:v>3.159641956204816</x:v>
      </x:c>
      <x:c r="O44" s="69" t="n">
        <x:f>D$41</x:f>
        <x:v>0.5</x:v>
      </x:c>
      <x:c r="P44" s="42" t="n">
        <x:f>D$42</x:f>
        <x:v>2</x:v>
      </x:c>
    </x:row>
  </x:sheetData>
  <x:mergeCells>
    <x:mergeCell ref="A1:AA1"/>
    <x:mergeCell ref="A2:AA2"/>
    <x:mergeCell ref="A4:AA4"/>
    <x:mergeCell ref="A10:Q10"/>
    <x:mergeCell ref="A20:K20"/>
    <x:mergeCell ref="A30:K30"/>
  </x:mergeCells>
  <x:pageMargins left="0.7" right="0.7" top="0.75" bottom="0.75" header="0.3" footer="0.3"/>
</x:worksheet>
</file>

<file path=xl/worksheets/sheet1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0" hidden="0" customWidth="1"/>
    <x:col min="5" max="5" width="18" hidden="0" customWidth="1"/>
    <x:col min="6" max="6" width="24" hidden="0" customWidth="1"/>
    <x:col min="7" max="7" width="12" hidden="0" customWidth="1"/>
    <x:col min="8" max="8" width="30" hidden="0" customWidth="1"/>
    <x:col min="9" max="9" width="18" hidden="0" customWidth="1"/>
    <x:col min="10" max="10" width="12" hidden="0" customWidth="1"/>
    <x:col min="11" max="11" width="8" hidden="0" customWidth="1"/>
    <x:col min="12" max="12" width="11" hidden="0" customWidth="1"/>
    <x:col min="13" max="13" width="11" hidden="0" customWidth="1"/>
    <x:col min="14" max="14" width="11" hidden="0" customWidth="1"/>
    <x:col min="15" max="15" width="12" hidden="0" customWidth="1"/>
    <x:col min="16" max="16" width="11" hidden="0" customWidth="1"/>
    <x:col min="17" max="17" width="12" hidden="0" customWidth="1"/>
    <x:col min="18" max="18" width="11" hidden="0" customWidth="1"/>
    <x:col min="19" max="19" width="11" hidden="0" customWidth="1"/>
    <x:col min="20" max="20" width="11" hidden="0" customWidth="1"/>
    <x:col min="21" max="21" width="11" hidden="0" customWidth="1"/>
    <x:col min="22" max="22" width="11" hidden="0" customWidth="1"/>
    <x:col min="23" max="23" width="11" hidden="0" customWidth="1"/>
    <x:col min="24" max="24" width="10" hidden="0" customWidth="1"/>
    <x:col min="25" max="25" width="34" hidden="0" customWidth="1"/>
    <x:col min="26" max="26" width="38" hidden="0" customWidth="1"/>
  </x:cols>
  <x:sheetData>
    <x:row r="1" ht="26" customHeight="1">
      <x:c r="A1" s="97" t="str">
        <x:v>過去検証_v1（ウォークフォワード補助・前進と混合禁止）</x:v>
      </x:c>
      <x:c r="B1" s="97" t="str">
        <x:v>過去検証_v1（ウォークフォワード補助・前進と混合禁止）</x:v>
      </x:c>
      <x:c r="C1" s="97" t="str">
        <x:v>過去検証_v1（ウォークフォワード補助・前進と混合禁止）</x:v>
      </x:c>
      <x:c r="D1" s="97" t="str">
        <x:v>過去検証_v1（ウォークフォワード補助・前進と混合禁止）</x:v>
      </x:c>
      <x:c r="E1" s="97" t="str">
        <x:v>過去検証_v1（ウォークフォワード補助・前進と混合禁止）</x:v>
      </x:c>
      <x:c r="F1" s="97" t="str">
        <x:v>過去検証_v1（ウォークフォワード補助・前進と混合禁止）</x:v>
      </x:c>
      <x:c r="G1" s="97" t="str">
        <x:v>過去検証_v1（ウォークフォワード補助・前進と混合禁止）</x:v>
      </x:c>
      <x:c r="H1" s="97" t="str">
        <x:v>過去検証_v1（ウォークフォワード補助・前進と混合禁止）</x:v>
      </x:c>
      <x:c r="I1" s="97" t="str">
        <x:v>過去検証_v1（ウォークフォワード補助・前進と混合禁止）</x:v>
      </x:c>
      <x:c r="J1" s="97" t="str">
        <x:v>過去検証_v1（ウォークフォワード補助・前進と混合禁止）</x:v>
      </x:c>
      <x:c r="K1" s="97" t="str">
        <x:v>過去検証_v1（ウォークフォワード補助・前進と混合禁止）</x:v>
      </x:c>
      <x:c r="L1" s="97" t="str">
        <x:v>過去検証_v1（ウォークフォワード補助・前進と混合禁止）</x:v>
      </x:c>
      <x:c r="M1" s="97" t="str">
        <x:v>過去検証_v1（ウォークフォワード補助・前進と混合禁止）</x:v>
      </x:c>
      <x:c r="N1" s="97" t="str">
        <x:v>過去検証_v1（ウォークフォワード補助・前進と混合禁止）</x:v>
      </x:c>
      <x:c r="O1" s="97" t="str">
        <x:v>過去検証_v1（ウォークフォワード補助・前進と混合禁止）</x:v>
      </x:c>
      <x:c r="P1" s="97" t="str">
        <x:v>過去検証_v1（ウォークフォワード補助・前進と混合禁止）</x:v>
      </x:c>
      <x:c r="Q1" s="97" t="str">
        <x:v>過去検証_v1（ウォークフォワード補助・前進と混合禁止）</x:v>
      </x:c>
      <x:c r="R1" s="97" t="str">
        <x:v>過去検証_v1（ウォークフォワード補助・前進と混合禁止）</x:v>
      </x:c>
      <x:c r="S1" s="97" t="str">
        <x:v>過去検証_v1（ウォークフォワード補助・前進と混合禁止）</x:v>
      </x:c>
      <x:c r="T1" s="97" t="str">
        <x:v>過去検証_v1（ウォークフォワード補助・前進と混合禁止）</x:v>
      </x:c>
      <x:c r="U1" s="97" t="str">
        <x:v>過去検証_v1（ウォークフォワード補助・前進と混合禁止）</x:v>
      </x:c>
      <x:c r="V1" s="97" t="str">
        <x:v>過去検証_v1（ウォークフォワード補助・前進と混合禁止）</x:v>
      </x:c>
      <x:c r="W1" s="97" t="str">
        <x:v>過去検証_v1（ウォークフォワード補助・前進と混合禁止）</x:v>
      </x:c>
      <x:c r="X1" s="97" t="str">
        <x:v>過去検証_v1（ウォークフォワード補助・前進と混合禁止）</x:v>
      </x:c>
      <x:c r="Y1" s="97" t="str">
        <x:v>過去検証_v1（ウォークフォワード補助・前進と混合禁止）</x:v>
      </x:c>
      <x:c r="Z1" s="97" t="str">
        <x:v>過去検証_v1（ウォークフォワード補助・前進と混合禁止）</x:v>
      </x:c>
    </x:row>
    <x:row r="2">
      <x:c r="A2" t="str">
        <x:v>当時入手可能な情報のみを使用。対象母集団・選外銘柄・選外理由も記録し、生存者/後知恵バイアスを明示する。青字=入力。</x:v>
      </x:c>
    </x:row>
    <x:row r="4">
      <x:c r="A4" s="107" t="str">
        <x:v>ID</x:v>
      </x:c>
      <x:c r="B4" s="107" t="str">
        <x:v>ルール版</x:v>
      </x:c>
      <x:c r="C4" s="107" t="str">
        <x:v>判定日</x:v>
      </x:c>
      <x:c r="D4" s="107" t="str">
        <x:v>コード</x:v>
      </x:c>
      <x:c r="E4" s="107" t="str">
        <x:v>銘柄</x:v>
      </x:c>
      <x:c r="F4" s="107" t="str">
        <x:v>当時母集団</x:v>
      </x:c>
      <x:c r="G4" s="107" t="str">
        <x:v>選定/選外</x:v>
      </x:c>
      <x:c r="H4" s="107" t="str">
        <x:v>選外理由</x:v>
      </x:c>
      <x:c r="I4" s="107" t="str">
        <x:v>テーマ群</x:v>
      </x:c>
      <x:c r="J4" s="107" t="str">
        <x:v>建値日</x:v>
      </x:c>
      <x:c r="K4" s="107" t="str">
        <x:v>株数</x:v>
      </x:c>
      <x:c r="L4" s="107" t="str">
        <x:v>建値</x:v>
      </x:c>
      <x:c r="M4" s="107" t="str">
        <x:v>ストップ</x:v>
      </x:c>
      <x:c r="N4" s="107" t="str">
        <x:v>第1利確</x:v>
      </x:c>
      <x:c r="O4" s="107" t="str">
        <x:v>発火日</x:v>
      </x:c>
      <x:c r="P4" s="107" t="str">
        <x:v>翌日始値</x:v>
      </x:c>
      <x:c r="Q4" s="107" t="str">
        <x:v>評価日</x:v>
      </x:c>
      <x:c r="R4" s="107" t="str">
        <x:v>評価値</x:v>
      </x:c>
      <x:c r="S4" s="107" t="str">
        <x:v>期中最安</x:v>
      </x:c>
      <x:c r="T4" s="107" t="str">
        <x:v>粗損益</x:v>
      </x:c>
      <x:c r="U4" s="107" t="str">
        <x:v>コスト</x:v>
      </x:c>
      <x:c r="V4" s="107" t="str">
        <x:v>純損益</x:v>
      </x:c>
      <x:c r="W4" s="107" t="str">
        <x:v>MAE</x:v>
      </x:c>
      <x:c r="X4" s="107" t="str">
        <x:v>勝敗</x:v>
      </x:c>
      <x:c r="Y4" s="107" t="str">
        <x:v>バイアス注記</x:v>
      </x:c>
      <x:c r="Z4" s="107" t="str">
        <x:v>出典URL</x:v>
      </x:c>
    </x:row>
    <x:row r="5">
      <x:c r="A5" s="111"/>
      <x:c r="B5" s="111"/>
      <x:c r="C5" s="112"/>
      <x:c r="D5" s="111"/>
      <x:c r="E5" s="111"/>
      <x:c r="F5" s="111"/>
      <x:c r="G5" s="111"/>
      <x:c r="H5" s="111"/>
      <x:c r="I5" s="111"/>
      <x:c r="J5" s="112"/>
      <x:c r="K5" s="111"/>
      <x:c r="L5" s="113"/>
      <x:c r="M5" s="113"/>
      <x:c r="N5" s="113"/>
      <x:c r="O5" s="112"/>
      <x:c r="P5" s="113"/>
      <x:c r="Q5" s="113"/>
      <x:c r="R5" s="113"/>
      <x:c r="S5" s="113"/>
      <x:c r="T5" s="45" t="str">
        <x:f>IF(OR(G5&lt;&gt;"選定",L5="",R5=""),"",(R5-L5)*K5)</x:f>
      </x:c>
      <x:c r="U5" s="45" t="str">
        <x:f>IF(T5="","",(L5*K5+R5*K5)*'ステップ2_ルール検証'!$B$8)</x:f>
      </x:c>
      <x:c r="V5" s="45" t="str">
        <x:f>IF(T5="","",T5-U5)</x:f>
      </x:c>
      <x:c r="W5" s="45" t="str">
        <x:f>IF(OR(S5="",L5=""),"",MIN(0,(S5-L5)*K5))</x:f>
      </x:c>
      <x:c r="X5" s="42" t="str">
        <x:f>IF(V5="","",IF(V5&gt;0,"勝ち",IF(V5&lt;0,"負け","引分")))</x:f>
      </x:c>
      <x:c r="Y5" s="111"/>
      <x:c r="Z5" s="111"/>
    </x:row>
    <x:row r="6">
      <x:c r="A6" s="111"/>
      <x:c r="B6" s="111"/>
      <x:c r="C6" s="112"/>
      <x:c r="D6" s="111"/>
      <x:c r="E6" s="111"/>
      <x:c r="F6" s="111"/>
      <x:c r="G6" s="111"/>
      <x:c r="H6" s="111"/>
      <x:c r="I6" s="111"/>
      <x:c r="J6" s="112"/>
      <x:c r="K6" s="111"/>
      <x:c r="L6" s="113"/>
      <x:c r="M6" s="113"/>
      <x:c r="N6" s="113"/>
      <x:c r="O6" s="112"/>
      <x:c r="P6" s="113"/>
      <x:c r="Q6" s="113"/>
      <x:c r="R6" s="113"/>
      <x:c r="S6" s="113"/>
      <x:c r="T6" s="45" t="str">
        <x:f>IF(OR(G6&lt;&gt;"選定",L6="",R6=""),"",(R6-L6)*K6)</x:f>
      </x:c>
      <x:c r="U6" s="45" t="str">
        <x:f>IF(T6="","",(L6*K6+R6*K6)*'ステップ2_ルール検証'!$B$8)</x:f>
      </x:c>
      <x:c r="V6" s="45" t="str">
        <x:f>IF(T6="","",T6-U6)</x:f>
      </x:c>
      <x:c r="W6" s="45" t="str">
        <x:f>IF(OR(S6="",L6=""),"",MIN(0,(S6-L6)*K6))</x:f>
      </x:c>
      <x:c r="X6" s="42" t="str">
        <x:f>IF(V6="","",IF(V6&gt;0,"勝ち",IF(V6&lt;0,"負け","引分")))</x:f>
      </x:c>
      <x:c r="Y6" s="111"/>
      <x:c r="Z6" s="111"/>
    </x:row>
    <x:row r="7">
      <x:c r="A7" s="111"/>
      <x:c r="B7" s="111"/>
      <x:c r="C7" s="112"/>
      <x:c r="D7" s="111"/>
      <x:c r="E7" s="111"/>
      <x:c r="F7" s="111"/>
      <x:c r="G7" s="111"/>
      <x:c r="H7" s="111"/>
      <x:c r="I7" s="111"/>
      <x:c r="J7" s="112"/>
      <x:c r="K7" s="111"/>
      <x:c r="L7" s="113"/>
      <x:c r="M7" s="113"/>
      <x:c r="N7" s="113"/>
      <x:c r="O7" s="112"/>
      <x:c r="P7" s="113"/>
      <x:c r="Q7" s="113"/>
      <x:c r="R7" s="113"/>
      <x:c r="S7" s="113"/>
      <x:c r="T7" s="45" t="str">
        <x:f>IF(OR(G7&lt;&gt;"選定",L7="",R7=""),"",(R7-L7)*K7)</x:f>
      </x:c>
      <x:c r="U7" s="45" t="str">
        <x:f>IF(T7="","",(L7*K7+R7*K7)*'ステップ2_ルール検証'!$B$8)</x:f>
      </x:c>
      <x:c r="V7" s="45" t="str">
        <x:f>IF(T7="","",T7-U7)</x:f>
      </x:c>
      <x:c r="W7" s="45" t="str">
        <x:f>IF(OR(S7="",L7=""),"",MIN(0,(S7-L7)*K7))</x:f>
      </x:c>
      <x:c r="X7" s="42" t="str">
        <x:f>IF(V7="","",IF(V7&gt;0,"勝ち",IF(V7&lt;0,"負け","引分")))</x:f>
      </x:c>
      <x:c r="Y7" s="111"/>
      <x:c r="Z7" s="111"/>
    </x:row>
    <x:row r="8">
      <x:c r="A8" s="111"/>
      <x:c r="B8" s="111"/>
      <x:c r="C8" s="112"/>
      <x:c r="D8" s="111"/>
      <x:c r="E8" s="111"/>
      <x:c r="F8" s="111"/>
      <x:c r="G8" s="111"/>
      <x:c r="H8" s="111"/>
      <x:c r="I8" s="111"/>
      <x:c r="J8" s="112"/>
      <x:c r="K8" s="111"/>
      <x:c r="L8" s="113"/>
      <x:c r="M8" s="113"/>
      <x:c r="N8" s="113"/>
      <x:c r="O8" s="112"/>
      <x:c r="P8" s="113"/>
      <x:c r="Q8" s="113"/>
      <x:c r="R8" s="113"/>
      <x:c r="S8" s="113"/>
      <x:c r="T8" s="45" t="str">
        <x:f>IF(OR(G8&lt;&gt;"選定",L8="",R8=""),"",(R8-L8)*K8)</x:f>
      </x:c>
      <x:c r="U8" s="45" t="str">
        <x:f>IF(T8="","",(L8*K8+R8*K8)*'ステップ2_ルール検証'!$B$8)</x:f>
      </x:c>
      <x:c r="V8" s="45" t="str">
        <x:f>IF(T8="","",T8-U8)</x:f>
      </x:c>
      <x:c r="W8" s="45" t="str">
        <x:f>IF(OR(S8="",L8=""),"",MIN(0,(S8-L8)*K8))</x:f>
      </x:c>
      <x:c r="X8" s="42" t="str">
        <x:f>IF(V8="","",IF(V8&gt;0,"勝ち",IF(V8&lt;0,"負け","引分")))</x:f>
      </x:c>
      <x:c r="Y8" s="111"/>
      <x:c r="Z8" s="111"/>
    </x:row>
    <x:row r="9">
      <x:c r="A9" s="111"/>
      <x:c r="B9" s="111"/>
      <x:c r="C9" s="112"/>
      <x:c r="D9" s="111"/>
      <x:c r="E9" s="111"/>
      <x:c r="F9" s="111"/>
      <x:c r="G9" s="111"/>
      <x:c r="H9" s="111"/>
      <x:c r="I9" s="111"/>
      <x:c r="J9" s="112"/>
      <x:c r="K9" s="111"/>
      <x:c r="L9" s="113"/>
      <x:c r="M9" s="113"/>
      <x:c r="N9" s="113"/>
      <x:c r="O9" s="112"/>
      <x:c r="P9" s="113"/>
      <x:c r="Q9" s="113"/>
      <x:c r="R9" s="113"/>
      <x:c r="S9" s="113"/>
      <x:c r="T9" s="45" t="str">
        <x:f>IF(OR(G9&lt;&gt;"選定",L9="",R9=""),"",(R9-L9)*K9)</x:f>
      </x:c>
      <x:c r="U9" s="45" t="str">
        <x:f>IF(T9="","",(L9*K9+R9*K9)*'ステップ2_ルール検証'!$B$8)</x:f>
      </x:c>
      <x:c r="V9" s="45" t="str">
        <x:f>IF(T9="","",T9-U9)</x:f>
      </x:c>
      <x:c r="W9" s="45" t="str">
        <x:f>IF(OR(S9="",L9=""),"",MIN(0,(S9-L9)*K9))</x:f>
      </x:c>
      <x:c r="X9" s="42" t="str">
        <x:f>IF(V9="","",IF(V9&gt;0,"勝ち",IF(V9&lt;0,"負け","引分")))</x:f>
      </x:c>
      <x:c r="Y9" s="111"/>
      <x:c r="Z9" s="111"/>
    </x:row>
    <x:row r="10">
      <x:c r="A10" s="111"/>
      <x:c r="B10" s="111"/>
      <x:c r="C10" s="112"/>
      <x:c r="D10" s="111"/>
      <x:c r="E10" s="111"/>
      <x:c r="F10" s="111"/>
      <x:c r="G10" s="111"/>
      <x:c r="H10" s="111"/>
      <x:c r="I10" s="111"/>
      <x:c r="J10" s="112"/>
      <x:c r="K10" s="111"/>
      <x:c r="L10" s="113"/>
      <x:c r="M10" s="113"/>
      <x:c r="N10" s="113"/>
      <x:c r="O10" s="112"/>
      <x:c r="P10" s="113"/>
      <x:c r="Q10" s="113"/>
      <x:c r="R10" s="113"/>
      <x:c r="S10" s="113"/>
      <x:c r="T10" s="45" t="str">
        <x:f>IF(OR(G10&lt;&gt;"選定",L10="",R10=""),"",(R10-L10)*K10)</x:f>
      </x:c>
      <x:c r="U10" s="45" t="str">
        <x:f>IF(T10="","",(L10*K10+R10*K10)*'ステップ2_ルール検証'!$B$8)</x:f>
      </x:c>
      <x:c r="V10" s="45" t="str">
        <x:f>IF(T10="","",T10-U10)</x:f>
      </x:c>
      <x:c r="W10" s="45" t="str">
        <x:f>IF(OR(S10="",L10=""),"",MIN(0,(S10-L10)*K10))</x:f>
      </x:c>
      <x:c r="X10" s="42" t="str">
        <x:f>IF(V10="","",IF(V10&gt;0,"勝ち",IF(V10&lt;0,"負け","引分")))</x:f>
      </x:c>
      <x:c r="Y10" s="111"/>
      <x:c r="Z10" s="111"/>
    </x:row>
    <x:row r="11">
      <x:c r="A11" s="111"/>
      <x:c r="B11" s="111"/>
      <x:c r="C11" s="112"/>
      <x:c r="D11" s="111"/>
      <x:c r="E11" s="111"/>
      <x:c r="F11" s="111"/>
      <x:c r="G11" s="111"/>
      <x:c r="H11" s="111"/>
      <x:c r="I11" s="111"/>
      <x:c r="J11" s="112"/>
      <x:c r="K11" s="111"/>
      <x:c r="L11" s="113"/>
      <x:c r="M11" s="113"/>
      <x:c r="N11" s="113"/>
      <x:c r="O11" s="112"/>
      <x:c r="P11" s="113"/>
      <x:c r="Q11" s="113"/>
      <x:c r="R11" s="113"/>
      <x:c r="S11" s="113"/>
      <x:c r="T11" s="45" t="str">
        <x:f>IF(OR(G11&lt;&gt;"選定",L11="",R11=""),"",(R11-L11)*K11)</x:f>
      </x:c>
      <x:c r="U11" s="45" t="str">
        <x:f>IF(T11="","",(L11*K11+R11*K11)*'ステップ2_ルール検証'!$B$8)</x:f>
      </x:c>
      <x:c r="V11" s="45" t="str">
        <x:f>IF(T11="","",T11-U11)</x:f>
      </x:c>
      <x:c r="W11" s="45" t="str">
        <x:f>IF(OR(S11="",L11=""),"",MIN(0,(S11-L11)*K11))</x:f>
      </x:c>
      <x:c r="X11" s="42" t="str">
        <x:f>IF(V11="","",IF(V11&gt;0,"勝ち",IF(V11&lt;0,"負け","引分")))</x:f>
      </x:c>
      <x:c r="Y11" s="111"/>
      <x:c r="Z11" s="111"/>
    </x:row>
    <x:row r="12">
      <x:c r="A12" s="111"/>
      <x:c r="B12" s="111"/>
      <x:c r="C12" s="112"/>
      <x:c r="D12" s="111"/>
      <x:c r="E12" s="111"/>
      <x:c r="F12" s="111"/>
      <x:c r="G12" s="111"/>
      <x:c r="H12" s="111"/>
      <x:c r="I12" s="111"/>
      <x:c r="J12" s="112"/>
      <x:c r="K12" s="111"/>
      <x:c r="L12" s="113"/>
      <x:c r="M12" s="113"/>
      <x:c r="N12" s="113"/>
      <x:c r="O12" s="112"/>
      <x:c r="P12" s="113"/>
      <x:c r="Q12" s="113"/>
      <x:c r="R12" s="113"/>
      <x:c r="S12" s="113"/>
      <x:c r="T12" s="45" t="str">
        <x:f>IF(OR(G12&lt;&gt;"選定",L12="",R12=""),"",(R12-L12)*K12)</x:f>
      </x:c>
      <x:c r="U12" s="45" t="str">
        <x:f>IF(T12="","",(L12*K12+R12*K12)*'ステップ2_ルール検証'!$B$8)</x:f>
      </x:c>
      <x:c r="V12" s="45" t="str">
        <x:f>IF(T12="","",T12-U12)</x:f>
      </x:c>
      <x:c r="W12" s="45" t="str">
        <x:f>IF(OR(S12="",L12=""),"",MIN(0,(S12-L12)*K12))</x:f>
      </x:c>
      <x:c r="X12" s="42" t="str">
        <x:f>IF(V12="","",IF(V12&gt;0,"勝ち",IF(V12&lt;0,"負け","引分")))</x:f>
      </x:c>
      <x:c r="Y12" s="111"/>
      <x:c r="Z12" s="111"/>
    </x:row>
    <x:row r="13">
      <x:c r="A13" s="111"/>
      <x:c r="B13" s="111"/>
      <x:c r="C13" s="112"/>
      <x:c r="D13" s="111"/>
      <x:c r="E13" s="111"/>
      <x:c r="F13" s="111"/>
      <x:c r="G13" s="111"/>
      <x:c r="H13" s="111"/>
      <x:c r="I13" s="111"/>
      <x:c r="J13" s="112"/>
      <x:c r="K13" s="111"/>
      <x:c r="L13" s="113"/>
      <x:c r="M13" s="113"/>
      <x:c r="N13" s="113"/>
      <x:c r="O13" s="112"/>
      <x:c r="P13" s="113"/>
      <x:c r="Q13" s="113"/>
      <x:c r="R13" s="113"/>
      <x:c r="S13" s="113"/>
      <x:c r="T13" s="45" t="str">
        <x:f>IF(OR(G13&lt;&gt;"選定",L13="",R13=""),"",(R13-L13)*K13)</x:f>
      </x:c>
      <x:c r="U13" s="45" t="str">
        <x:f>IF(T13="","",(L13*K13+R13*K13)*'ステップ2_ルール検証'!$B$8)</x:f>
      </x:c>
      <x:c r="V13" s="45" t="str">
        <x:f>IF(T13="","",T13-U13)</x:f>
      </x:c>
      <x:c r="W13" s="45" t="str">
        <x:f>IF(OR(S13="",L13=""),"",MIN(0,(S13-L13)*K13))</x:f>
      </x:c>
      <x:c r="X13" s="42" t="str">
        <x:f>IF(V13="","",IF(V13&gt;0,"勝ち",IF(V13&lt;0,"負け","引分")))</x:f>
      </x:c>
      <x:c r="Y13" s="111"/>
      <x:c r="Z13" s="111"/>
    </x:row>
    <x:row r="14">
      <x:c r="A14" s="111"/>
      <x:c r="B14" s="111"/>
      <x:c r="C14" s="112"/>
      <x:c r="D14" s="111"/>
      <x:c r="E14" s="111"/>
      <x:c r="F14" s="111"/>
      <x:c r="G14" s="111"/>
      <x:c r="H14" s="111"/>
      <x:c r="I14" s="111"/>
      <x:c r="J14" s="112"/>
      <x:c r="K14" s="111"/>
      <x:c r="L14" s="113"/>
      <x:c r="M14" s="113"/>
      <x:c r="N14" s="113"/>
      <x:c r="O14" s="112"/>
      <x:c r="P14" s="113"/>
      <x:c r="Q14" s="113"/>
      <x:c r="R14" s="113"/>
      <x:c r="S14" s="113"/>
      <x:c r="T14" s="45" t="str">
        <x:f>IF(OR(G14&lt;&gt;"選定",L14="",R14=""),"",(R14-L14)*K14)</x:f>
      </x:c>
      <x:c r="U14" s="45" t="str">
        <x:f>IF(T14="","",(L14*K14+R14*K14)*'ステップ2_ルール検証'!$B$8)</x:f>
      </x:c>
      <x:c r="V14" s="45" t="str">
        <x:f>IF(T14="","",T14-U14)</x:f>
      </x:c>
      <x:c r="W14" s="45" t="str">
        <x:f>IF(OR(S14="",L14=""),"",MIN(0,(S14-L14)*K14))</x:f>
      </x:c>
      <x:c r="X14" s="42" t="str">
        <x:f>IF(V14="","",IF(V14&gt;0,"勝ち",IF(V14&lt;0,"負け","引分")))</x:f>
      </x:c>
      <x:c r="Y14" s="111"/>
      <x:c r="Z14" s="111"/>
    </x:row>
    <x:row r="15">
      <x:c r="A15" s="111"/>
      <x:c r="B15" s="111"/>
      <x:c r="C15" s="112"/>
      <x:c r="D15" s="111"/>
      <x:c r="E15" s="111"/>
      <x:c r="F15" s="111"/>
      <x:c r="G15" s="111"/>
      <x:c r="H15" s="111"/>
      <x:c r="I15" s="111"/>
      <x:c r="J15" s="112"/>
      <x:c r="K15" s="111"/>
      <x:c r="L15" s="113"/>
      <x:c r="M15" s="113"/>
      <x:c r="N15" s="113"/>
      <x:c r="O15" s="112"/>
      <x:c r="P15" s="113"/>
      <x:c r="Q15" s="113"/>
      <x:c r="R15" s="113"/>
      <x:c r="S15" s="113"/>
      <x:c r="T15" s="45" t="str">
        <x:f>IF(OR(G15&lt;&gt;"選定",L15="",R15=""),"",(R15-L15)*K15)</x:f>
      </x:c>
      <x:c r="U15" s="45" t="str">
        <x:f>IF(T15="","",(L15*K15+R15*K15)*'ステップ2_ルール検証'!$B$8)</x:f>
      </x:c>
      <x:c r="V15" s="45" t="str">
        <x:f>IF(T15="","",T15-U15)</x:f>
      </x:c>
      <x:c r="W15" s="45" t="str">
        <x:f>IF(OR(S15="",L15=""),"",MIN(0,(S15-L15)*K15))</x:f>
      </x:c>
      <x:c r="X15" s="42" t="str">
        <x:f>IF(V15="","",IF(V15&gt;0,"勝ち",IF(V15&lt;0,"負け","引分")))</x:f>
      </x:c>
      <x:c r="Y15" s="111"/>
      <x:c r="Z15" s="111"/>
    </x:row>
    <x:row r="16">
      <x:c r="A16" s="111"/>
      <x:c r="B16" s="111"/>
      <x:c r="C16" s="112"/>
      <x:c r="D16" s="111"/>
      <x:c r="E16" s="111"/>
      <x:c r="F16" s="111"/>
      <x:c r="G16" s="111"/>
      <x:c r="H16" s="111"/>
      <x:c r="I16" s="111"/>
      <x:c r="J16" s="112"/>
      <x:c r="K16" s="111"/>
      <x:c r="L16" s="113"/>
      <x:c r="M16" s="113"/>
      <x:c r="N16" s="113"/>
      <x:c r="O16" s="112"/>
      <x:c r="P16" s="113"/>
      <x:c r="Q16" s="113"/>
      <x:c r="R16" s="113"/>
      <x:c r="S16" s="113"/>
      <x:c r="T16" s="45" t="str">
        <x:f>IF(OR(G16&lt;&gt;"選定",L16="",R16=""),"",(R16-L16)*K16)</x:f>
      </x:c>
      <x:c r="U16" s="45" t="str">
        <x:f>IF(T16="","",(L16*K16+R16*K16)*'ステップ2_ルール検証'!$B$8)</x:f>
      </x:c>
      <x:c r="V16" s="45" t="str">
        <x:f>IF(T16="","",T16-U16)</x:f>
      </x:c>
      <x:c r="W16" s="45" t="str">
        <x:f>IF(OR(S16="",L16=""),"",MIN(0,(S16-L16)*K16))</x:f>
      </x:c>
      <x:c r="X16" s="42" t="str">
        <x:f>IF(V16="","",IF(V16&gt;0,"勝ち",IF(V16&lt;0,"負け","引分")))</x:f>
      </x:c>
      <x:c r="Y16" s="111"/>
      <x:c r="Z16" s="111"/>
    </x:row>
    <x:row r="17">
      <x:c r="A17" s="111"/>
      <x:c r="B17" s="111"/>
      <x:c r="C17" s="112"/>
      <x:c r="D17" s="111"/>
      <x:c r="E17" s="111"/>
      <x:c r="F17" s="111"/>
      <x:c r="G17" s="111"/>
      <x:c r="H17" s="111"/>
      <x:c r="I17" s="111"/>
      <x:c r="J17" s="112"/>
      <x:c r="K17" s="111"/>
      <x:c r="L17" s="113"/>
      <x:c r="M17" s="113"/>
      <x:c r="N17" s="113"/>
      <x:c r="O17" s="112"/>
      <x:c r="P17" s="113"/>
      <x:c r="Q17" s="113"/>
      <x:c r="R17" s="113"/>
      <x:c r="S17" s="113"/>
      <x:c r="T17" s="45" t="str">
        <x:f>IF(OR(G17&lt;&gt;"選定",L17="",R17=""),"",(R17-L17)*K17)</x:f>
      </x:c>
      <x:c r="U17" s="45" t="str">
        <x:f>IF(T17="","",(L17*K17+R17*K17)*'ステップ2_ルール検証'!$B$8)</x:f>
      </x:c>
      <x:c r="V17" s="45" t="str">
        <x:f>IF(T17="","",T17-U17)</x:f>
      </x:c>
      <x:c r="W17" s="45" t="str">
        <x:f>IF(OR(S17="",L17=""),"",MIN(0,(S17-L17)*K17))</x:f>
      </x:c>
      <x:c r="X17" s="42" t="str">
        <x:f>IF(V17="","",IF(V17&gt;0,"勝ち",IF(V17&lt;0,"負け","引分")))</x:f>
      </x:c>
      <x:c r="Y17" s="111"/>
      <x:c r="Z17" s="111"/>
    </x:row>
    <x:row r="18">
      <x:c r="A18" s="111"/>
      <x:c r="B18" s="111"/>
      <x:c r="C18" s="112"/>
      <x:c r="D18" s="111"/>
      <x:c r="E18" s="111"/>
      <x:c r="F18" s="111"/>
      <x:c r="G18" s="111"/>
      <x:c r="H18" s="111"/>
      <x:c r="I18" s="111"/>
      <x:c r="J18" s="112"/>
      <x:c r="K18" s="111"/>
      <x:c r="L18" s="113"/>
      <x:c r="M18" s="113"/>
      <x:c r="N18" s="113"/>
      <x:c r="O18" s="112"/>
      <x:c r="P18" s="113"/>
      <x:c r="Q18" s="113"/>
      <x:c r="R18" s="113"/>
      <x:c r="S18" s="113"/>
      <x:c r="T18" s="45" t="str">
        <x:f>IF(OR(G18&lt;&gt;"選定",L18="",R18=""),"",(R18-L18)*K18)</x:f>
      </x:c>
      <x:c r="U18" s="45" t="str">
        <x:f>IF(T18="","",(L18*K18+R18*K18)*'ステップ2_ルール検証'!$B$8)</x:f>
      </x:c>
      <x:c r="V18" s="45" t="str">
        <x:f>IF(T18="","",T18-U18)</x:f>
      </x:c>
      <x:c r="W18" s="45" t="str">
        <x:f>IF(OR(S18="",L18=""),"",MIN(0,(S18-L18)*K18))</x:f>
      </x:c>
      <x:c r="X18" s="42" t="str">
        <x:f>IF(V18="","",IF(V18&gt;0,"勝ち",IF(V18&lt;0,"負け","引分")))</x:f>
      </x:c>
      <x:c r="Y18" s="111"/>
      <x:c r="Z18" s="111"/>
    </x:row>
    <x:row r="19">
      <x:c r="A19" s="111"/>
      <x:c r="B19" s="111"/>
      <x:c r="C19" s="112"/>
      <x:c r="D19" s="111"/>
      <x:c r="E19" s="111"/>
      <x:c r="F19" s="111"/>
      <x:c r="G19" s="111"/>
      <x:c r="H19" s="111"/>
      <x:c r="I19" s="111"/>
      <x:c r="J19" s="112"/>
      <x:c r="K19" s="111"/>
      <x:c r="L19" s="113"/>
      <x:c r="M19" s="113"/>
      <x:c r="N19" s="113"/>
      <x:c r="O19" s="112"/>
      <x:c r="P19" s="113"/>
      <x:c r="Q19" s="113"/>
      <x:c r="R19" s="113"/>
      <x:c r="S19" s="113"/>
      <x:c r="T19" s="45" t="str">
        <x:f>IF(OR(G19&lt;&gt;"選定",L19="",R19=""),"",(R19-L19)*K19)</x:f>
      </x:c>
      <x:c r="U19" s="45" t="str">
        <x:f>IF(T19="","",(L19*K19+R19*K19)*'ステップ2_ルール検証'!$B$8)</x:f>
      </x:c>
      <x:c r="V19" s="45" t="str">
        <x:f>IF(T19="","",T19-U19)</x:f>
      </x:c>
      <x:c r="W19" s="45" t="str">
        <x:f>IF(OR(S19="",L19=""),"",MIN(0,(S19-L19)*K19))</x:f>
      </x:c>
      <x:c r="X19" s="42" t="str">
        <x:f>IF(V19="","",IF(V19&gt;0,"勝ち",IF(V19&lt;0,"負け","引分")))</x:f>
      </x:c>
      <x:c r="Y19" s="111"/>
      <x:c r="Z19" s="111"/>
    </x:row>
    <x:row r="20">
      <x:c r="A20" s="111"/>
      <x:c r="B20" s="111"/>
      <x:c r="C20" s="112"/>
      <x:c r="D20" s="111"/>
      <x:c r="E20" s="111"/>
      <x:c r="F20" s="111"/>
      <x:c r="G20" s="111"/>
      <x:c r="H20" s="111"/>
      <x:c r="I20" s="111"/>
      <x:c r="J20" s="112"/>
      <x:c r="K20" s="111"/>
      <x:c r="L20" s="113"/>
      <x:c r="M20" s="113"/>
      <x:c r="N20" s="113"/>
      <x:c r="O20" s="112"/>
      <x:c r="P20" s="113"/>
      <x:c r="Q20" s="113"/>
      <x:c r="R20" s="113"/>
      <x:c r="S20" s="113"/>
      <x:c r="T20" s="45" t="str">
        <x:f>IF(OR(G20&lt;&gt;"選定",L20="",R20=""),"",(R20-L20)*K20)</x:f>
      </x:c>
      <x:c r="U20" s="45" t="str">
        <x:f>IF(T20="","",(L20*K20+R20*K20)*'ステップ2_ルール検証'!$B$8)</x:f>
      </x:c>
      <x:c r="V20" s="45" t="str">
        <x:f>IF(T20="","",T20-U20)</x:f>
      </x:c>
      <x:c r="W20" s="45" t="str">
        <x:f>IF(OR(S20="",L20=""),"",MIN(0,(S20-L20)*K20))</x:f>
      </x:c>
      <x:c r="X20" s="42" t="str">
        <x:f>IF(V20="","",IF(V20&gt;0,"勝ち",IF(V20&lt;0,"負け","引分")))</x:f>
      </x:c>
      <x:c r="Y20" s="111"/>
      <x:c r="Z20" s="111"/>
    </x:row>
    <x:row r="21">
      <x:c r="A21" s="111"/>
      <x:c r="B21" s="111"/>
      <x:c r="C21" s="112"/>
      <x:c r="D21" s="111"/>
      <x:c r="E21" s="111"/>
      <x:c r="F21" s="111"/>
      <x:c r="G21" s="111"/>
      <x:c r="H21" s="111"/>
      <x:c r="I21" s="111"/>
      <x:c r="J21" s="112"/>
      <x:c r="K21" s="111"/>
      <x:c r="L21" s="113"/>
      <x:c r="M21" s="113"/>
      <x:c r="N21" s="113"/>
      <x:c r="O21" s="112"/>
      <x:c r="P21" s="113"/>
      <x:c r="Q21" s="113"/>
      <x:c r="R21" s="113"/>
      <x:c r="S21" s="113"/>
      <x:c r="T21" s="45" t="str">
        <x:f>IF(OR(G21&lt;&gt;"選定",L21="",R21=""),"",(R21-L21)*K21)</x:f>
      </x:c>
      <x:c r="U21" s="45" t="str">
        <x:f>IF(T21="","",(L21*K21+R21*K21)*'ステップ2_ルール検証'!$B$8)</x:f>
      </x:c>
      <x:c r="V21" s="45" t="str">
        <x:f>IF(T21="","",T21-U21)</x:f>
      </x:c>
      <x:c r="W21" s="45" t="str">
        <x:f>IF(OR(S21="",L21=""),"",MIN(0,(S21-L21)*K21))</x:f>
      </x:c>
      <x:c r="X21" s="42" t="str">
        <x:f>IF(V21="","",IF(V21&gt;0,"勝ち",IF(V21&lt;0,"負け","引分")))</x:f>
      </x:c>
      <x:c r="Y21" s="111"/>
      <x:c r="Z21" s="111"/>
    </x:row>
    <x:row r="22">
      <x:c r="A22" s="111"/>
      <x:c r="B22" s="111"/>
      <x:c r="C22" s="112"/>
      <x:c r="D22" s="111"/>
      <x:c r="E22" s="111"/>
      <x:c r="F22" s="111"/>
      <x:c r="G22" s="111"/>
      <x:c r="H22" s="111"/>
      <x:c r="I22" s="111"/>
      <x:c r="J22" s="112"/>
      <x:c r="K22" s="111"/>
      <x:c r="L22" s="113"/>
      <x:c r="M22" s="113"/>
      <x:c r="N22" s="113"/>
      <x:c r="O22" s="112"/>
      <x:c r="P22" s="113"/>
      <x:c r="Q22" s="113"/>
      <x:c r="R22" s="113"/>
      <x:c r="S22" s="113"/>
      <x:c r="T22" s="45" t="str">
        <x:f>IF(OR(G22&lt;&gt;"選定",L22="",R22=""),"",(R22-L22)*K22)</x:f>
      </x:c>
      <x:c r="U22" s="45" t="str">
        <x:f>IF(T22="","",(L22*K22+R22*K22)*'ステップ2_ルール検証'!$B$8)</x:f>
      </x:c>
      <x:c r="V22" s="45" t="str">
        <x:f>IF(T22="","",T22-U22)</x:f>
      </x:c>
      <x:c r="W22" s="45" t="str">
        <x:f>IF(OR(S22="",L22=""),"",MIN(0,(S22-L22)*K22))</x:f>
      </x:c>
      <x:c r="X22" s="42" t="str">
        <x:f>IF(V22="","",IF(V22&gt;0,"勝ち",IF(V22&lt;0,"負け","引分")))</x:f>
      </x:c>
      <x:c r="Y22" s="111"/>
      <x:c r="Z22" s="111"/>
    </x:row>
    <x:row r="23">
      <x:c r="A23" s="111"/>
      <x:c r="B23" s="111"/>
      <x:c r="C23" s="112"/>
      <x:c r="D23" s="111"/>
      <x:c r="E23" s="111"/>
      <x:c r="F23" s="111"/>
      <x:c r="G23" s="111"/>
      <x:c r="H23" s="111"/>
      <x:c r="I23" s="111"/>
      <x:c r="J23" s="112"/>
      <x:c r="K23" s="111"/>
      <x:c r="L23" s="113"/>
      <x:c r="M23" s="113"/>
      <x:c r="N23" s="113"/>
      <x:c r="O23" s="112"/>
      <x:c r="P23" s="113"/>
      <x:c r="Q23" s="113"/>
      <x:c r="R23" s="113"/>
      <x:c r="S23" s="113"/>
      <x:c r="T23" s="45" t="str">
        <x:f>IF(OR(G23&lt;&gt;"選定",L23="",R23=""),"",(R23-L23)*K23)</x:f>
      </x:c>
      <x:c r="U23" s="45" t="str">
        <x:f>IF(T23="","",(L23*K23+R23*K23)*'ステップ2_ルール検証'!$B$8)</x:f>
      </x:c>
      <x:c r="V23" s="45" t="str">
        <x:f>IF(T23="","",T23-U23)</x:f>
      </x:c>
      <x:c r="W23" s="45" t="str">
        <x:f>IF(OR(S23="",L23=""),"",MIN(0,(S23-L23)*K23))</x:f>
      </x:c>
      <x:c r="X23" s="42" t="str">
        <x:f>IF(V23="","",IF(V23&gt;0,"勝ち",IF(V23&lt;0,"負け","引分")))</x:f>
      </x:c>
      <x:c r="Y23" s="111"/>
      <x:c r="Z23" s="111"/>
    </x:row>
    <x:row r="24">
      <x:c r="A24" s="111"/>
      <x:c r="B24" s="111"/>
      <x:c r="C24" s="112"/>
      <x:c r="D24" s="111"/>
      <x:c r="E24" s="111"/>
      <x:c r="F24" s="111"/>
      <x:c r="G24" s="111"/>
      <x:c r="H24" s="111"/>
      <x:c r="I24" s="111"/>
      <x:c r="J24" s="112"/>
      <x:c r="K24" s="111"/>
      <x:c r="L24" s="113"/>
      <x:c r="M24" s="113"/>
      <x:c r="N24" s="113"/>
      <x:c r="O24" s="112"/>
      <x:c r="P24" s="113"/>
      <x:c r="Q24" s="113"/>
      <x:c r="R24" s="113"/>
      <x:c r="S24" s="113"/>
      <x:c r="T24" s="45" t="str">
        <x:f>IF(OR(G24&lt;&gt;"選定",L24="",R24=""),"",(R24-L24)*K24)</x:f>
      </x:c>
      <x:c r="U24" s="45" t="str">
        <x:f>IF(T24="","",(L24*K24+R24*K24)*'ステップ2_ルール検証'!$B$8)</x:f>
      </x:c>
      <x:c r="V24" s="45" t="str">
        <x:f>IF(T24="","",T24-U24)</x:f>
      </x:c>
      <x:c r="W24" s="45" t="str">
        <x:f>IF(OR(S24="",L24=""),"",MIN(0,(S24-L24)*K24))</x:f>
      </x:c>
      <x:c r="X24" s="42" t="str">
        <x:f>IF(V24="","",IF(V24&gt;0,"勝ち",IF(V24&lt;0,"負け","引分")))</x:f>
      </x:c>
      <x:c r="Y24" s="111"/>
      <x:c r="Z24" s="111"/>
    </x:row>
    <x:row r="25">
      <x:c r="A25" s="111"/>
      <x:c r="B25" s="111"/>
      <x:c r="C25" s="112"/>
      <x:c r="D25" s="111"/>
      <x:c r="E25" s="111"/>
      <x:c r="F25" s="111"/>
      <x:c r="G25" s="111"/>
      <x:c r="H25" s="111"/>
      <x:c r="I25" s="111"/>
      <x:c r="J25" s="112"/>
      <x:c r="K25" s="111"/>
      <x:c r="L25" s="113"/>
      <x:c r="M25" s="113"/>
      <x:c r="N25" s="113"/>
      <x:c r="O25" s="112"/>
      <x:c r="P25" s="113"/>
      <x:c r="Q25" s="113"/>
      <x:c r="R25" s="113"/>
      <x:c r="S25" s="113"/>
      <x:c r="T25" s="45" t="str">
        <x:f>IF(OR(G25&lt;&gt;"選定",L25="",R25=""),"",(R25-L25)*K25)</x:f>
      </x:c>
      <x:c r="U25" s="45" t="str">
        <x:f>IF(T25="","",(L25*K25+R25*K25)*'ステップ2_ルール検証'!$B$8)</x:f>
      </x:c>
      <x:c r="V25" s="45" t="str">
        <x:f>IF(T25="","",T25-U25)</x:f>
      </x:c>
      <x:c r="W25" s="45" t="str">
        <x:f>IF(OR(S25="",L25=""),"",MIN(0,(S25-L25)*K25))</x:f>
      </x:c>
      <x:c r="X25" s="42" t="str">
        <x:f>IF(V25="","",IF(V25&gt;0,"勝ち",IF(V25&lt;0,"負け","引分")))</x:f>
      </x:c>
      <x:c r="Y25" s="111"/>
      <x:c r="Z25" s="111"/>
    </x:row>
    <x:row r="26">
      <x:c r="A26" s="111"/>
      <x:c r="B26" s="111"/>
      <x:c r="C26" s="112"/>
      <x:c r="D26" s="111"/>
      <x:c r="E26" s="111"/>
      <x:c r="F26" s="111"/>
      <x:c r="G26" s="111"/>
      <x:c r="H26" s="111"/>
      <x:c r="I26" s="111"/>
      <x:c r="J26" s="112"/>
      <x:c r="K26" s="111"/>
      <x:c r="L26" s="113"/>
      <x:c r="M26" s="113"/>
      <x:c r="N26" s="113"/>
      <x:c r="O26" s="112"/>
      <x:c r="P26" s="113"/>
      <x:c r="Q26" s="113"/>
      <x:c r="R26" s="113"/>
      <x:c r="S26" s="113"/>
      <x:c r="T26" s="45" t="str">
        <x:f>IF(OR(G26&lt;&gt;"選定",L26="",R26=""),"",(R26-L26)*K26)</x:f>
      </x:c>
      <x:c r="U26" s="45" t="str">
        <x:f>IF(T26="","",(L26*K26+R26*K26)*'ステップ2_ルール検証'!$B$8)</x:f>
      </x:c>
      <x:c r="V26" s="45" t="str">
        <x:f>IF(T26="","",T26-U26)</x:f>
      </x:c>
      <x:c r="W26" s="45" t="str">
        <x:f>IF(OR(S26="",L26=""),"",MIN(0,(S26-L26)*K26))</x:f>
      </x:c>
      <x:c r="X26" s="42" t="str">
        <x:f>IF(V26="","",IF(V26&gt;0,"勝ち",IF(V26&lt;0,"負け","引分")))</x:f>
      </x:c>
      <x:c r="Y26" s="111"/>
      <x:c r="Z26" s="111"/>
    </x:row>
    <x:row r="27">
      <x:c r="A27" s="111"/>
      <x:c r="B27" s="111"/>
      <x:c r="C27" s="112"/>
      <x:c r="D27" s="111"/>
      <x:c r="E27" s="111"/>
      <x:c r="F27" s="111"/>
      <x:c r="G27" s="111"/>
      <x:c r="H27" s="111"/>
      <x:c r="I27" s="111"/>
      <x:c r="J27" s="112"/>
      <x:c r="K27" s="111"/>
      <x:c r="L27" s="113"/>
      <x:c r="M27" s="113"/>
      <x:c r="N27" s="113"/>
      <x:c r="O27" s="112"/>
      <x:c r="P27" s="113"/>
      <x:c r="Q27" s="113"/>
      <x:c r="R27" s="113"/>
      <x:c r="S27" s="113"/>
      <x:c r="T27" s="45" t="str">
        <x:f>IF(OR(G27&lt;&gt;"選定",L27="",R27=""),"",(R27-L27)*K27)</x:f>
      </x:c>
      <x:c r="U27" s="45" t="str">
        <x:f>IF(T27="","",(L27*K27+R27*K27)*'ステップ2_ルール検証'!$B$8)</x:f>
      </x:c>
      <x:c r="V27" s="45" t="str">
        <x:f>IF(T27="","",T27-U27)</x:f>
      </x:c>
      <x:c r="W27" s="45" t="str">
        <x:f>IF(OR(S27="",L27=""),"",MIN(0,(S27-L27)*K27))</x:f>
      </x:c>
      <x:c r="X27" s="42" t="str">
        <x:f>IF(V27="","",IF(V27&gt;0,"勝ち",IF(V27&lt;0,"負け","引分")))</x:f>
      </x:c>
      <x:c r="Y27" s="111"/>
      <x:c r="Z27" s="111"/>
    </x:row>
    <x:row r="28">
      <x:c r="A28" s="111"/>
      <x:c r="B28" s="111"/>
      <x:c r="C28" s="112"/>
      <x:c r="D28" s="111"/>
      <x:c r="E28" s="111"/>
      <x:c r="F28" s="111"/>
      <x:c r="G28" s="111"/>
      <x:c r="H28" s="111"/>
      <x:c r="I28" s="111"/>
      <x:c r="J28" s="112"/>
      <x:c r="K28" s="111"/>
      <x:c r="L28" s="113"/>
      <x:c r="M28" s="113"/>
      <x:c r="N28" s="113"/>
      <x:c r="O28" s="112"/>
      <x:c r="P28" s="113"/>
      <x:c r="Q28" s="113"/>
      <x:c r="R28" s="113"/>
      <x:c r="S28" s="113"/>
      <x:c r="T28" s="45" t="str">
        <x:f>IF(OR(G28&lt;&gt;"選定",L28="",R28=""),"",(R28-L28)*K28)</x:f>
      </x:c>
      <x:c r="U28" s="45" t="str">
        <x:f>IF(T28="","",(L28*K28+R28*K28)*'ステップ2_ルール検証'!$B$8)</x:f>
      </x:c>
      <x:c r="V28" s="45" t="str">
        <x:f>IF(T28="","",T28-U28)</x:f>
      </x:c>
      <x:c r="W28" s="45" t="str">
        <x:f>IF(OR(S28="",L28=""),"",MIN(0,(S28-L28)*K28))</x:f>
      </x:c>
      <x:c r="X28" s="42" t="str">
        <x:f>IF(V28="","",IF(V28&gt;0,"勝ち",IF(V28&lt;0,"負け","引分")))</x:f>
      </x:c>
      <x:c r="Y28" s="111"/>
      <x:c r="Z28" s="111"/>
    </x:row>
    <x:row r="29">
      <x:c r="A29" s="111"/>
      <x:c r="B29" s="111"/>
      <x:c r="C29" s="112"/>
      <x:c r="D29" s="111"/>
      <x:c r="E29" s="111"/>
      <x:c r="F29" s="111"/>
      <x:c r="G29" s="111"/>
      <x:c r="H29" s="111"/>
      <x:c r="I29" s="111"/>
      <x:c r="J29" s="112"/>
      <x:c r="K29" s="111"/>
      <x:c r="L29" s="113"/>
      <x:c r="M29" s="113"/>
      <x:c r="N29" s="113"/>
      <x:c r="O29" s="112"/>
      <x:c r="P29" s="113"/>
      <x:c r="Q29" s="113"/>
      <x:c r="R29" s="113"/>
      <x:c r="S29" s="113"/>
      <x:c r="T29" s="45" t="str">
        <x:f>IF(OR(G29&lt;&gt;"選定",L29="",R29=""),"",(R29-L29)*K29)</x:f>
      </x:c>
      <x:c r="U29" s="45" t="str">
        <x:f>IF(T29="","",(L29*K29+R29*K29)*'ステップ2_ルール検証'!$B$8)</x:f>
      </x:c>
      <x:c r="V29" s="45" t="str">
        <x:f>IF(T29="","",T29-U29)</x:f>
      </x:c>
      <x:c r="W29" s="45" t="str">
        <x:f>IF(OR(S29="",L29=""),"",MIN(0,(S29-L29)*K29))</x:f>
      </x:c>
      <x:c r="X29" s="42" t="str">
        <x:f>IF(V29="","",IF(V29&gt;0,"勝ち",IF(V29&lt;0,"負け","引分")))</x:f>
      </x:c>
      <x:c r="Y29" s="111"/>
      <x:c r="Z29" s="111"/>
    </x:row>
    <x:row r="30">
      <x:c r="A30" s="111"/>
      <x:c r="B30" s="111"/>
      <x:c r="C30" s="112"/>
      <x:c r="D30" s="111"/>
      <x:c r="E30" s="111"/>
      <x:c r="F30" s="111"/>
      <x:c r="G30" s="111"/>
      <x:c r="H30" s="111"/>
      <x:c r="I30" s="111"/>
      <x:c r="J30" s="112"/>
      <x:c r="K30" s="111"/>
      <x:c r="L30" s="113"/>
      <x:c r="M30" s="113"/>
      <x:c r="N30" s="113"/>
      <x:c r="O30" s="112"/>
      <x:c r="P30" s="113"/>
      <x:c r="Q30" s="113"/>
      <x:c r="R30" s="113"/>
      <x:c r="S30" s="113"/>
      <x:c r="T30" s="45" t="str">
        <x:f>IF(OR(G30&lt;&gt;"選定",L30="",R30=""),"",(R30-L30)*K30)</x:f>
      </x:c>
      <x:c r="U30" s="45" t="str">
        <x:f>IF(T30="","",(L30*K30+R30*K30)*'ステップ2_ルール検証'!$B$8)</x:f>
      </x:c>
      <x:c r="V30" s="45" t="str">
        <x:f>IF(T30="","",T30-U30)</x:f>
      </x:c>
      <x:c r="W30" s="45" t="str">
        <x:f>IF(OR(S30="",L30=""),"",MIN(0,(S30-L30)*K30))</x:f>
      </x:c>
      <x:c r="X30" s="42" t="str">
        <x:f>IF(V30="","",IF(V30&gt;0,"勝ち",IF(V30&lt;0,"負け","引分")))</x:f>
      </x:c>
      <x:c r="Y30" s="111"/>
      <x:c r="Z30" s="111"/>
    </x:row>
    <x:row r="31">
      <x:c r="A31" s="111"/>
      <x:c r="B31" s="111"/>
      <x:c r="C31" s="112"/>
      <x:c r="D31" s="111"/>
      <x:c r="E31" s="111"/>
      <x:c r="F31" s="111"/>
      <x:c r="G31" s="111"/>
      <x:c r="H31" s="111"/>
      <x:c r="I31" s="111"/>
      <x:c r="J31" s="112"/>
      <x:c r="K31" s="111"/>
      <x:c r="L31" s="113"/>
      <x:c r="M31" s="113"/>
      <x:c r="N31" s="113"/>
      <x:c r="O31" s="112"/>
      <x:c r="P31" s="113"/>
      <x:c r="Q31" s="113"/>
      <x:c r="R31" s="113"/>
      <x:c r="S31" s="113"/>
      <x:c r="T31" s="45" t="str">
        <x:f>IF(OR(G31&lt;&gt;"選定",L31="",R31=""),"",(R31-L31)*K31)</x:f>
      </x:c>
      <x:c r="U31" s="45" t="str">
        <x:f>IF(T31="","",(L31*K31+R31*K31)*'ステップ2_ルール検証'!$B$8)</x:f>
      </x:c>
      <x:c r="V31" s="45" t="str">
        <x:f>IF(T31="","",T31-U31)</x:f>
      </x:c>
      <x:c r="W31" s="45" t="str">
        <x:f>IF(OR(S31="",L31=""),"",MIN(0,(S31-L31)*K31))</x:f>
      </x:c>
      <x:c r="X31" s="42" t="str">
        <x:f>IF(V31="","",IF(V31&gt;0,"勝ち",IF(V31&lt;0,"負け","引分")))</x:f>
      </x:c>
      <x:c r="Y31" s="111"/>
      <x:c r="Z31" s="111"/>
    </x:row>
    <x:row r="32">
      <x:c r="A32" s="111"/>
      <x:c r="B32" s="111"/>
      <x:c r="C32" s="112"/>
      <x:c r="D32" s="111"/>
      <x:c r="E32" s="111"/>
      <x:c r="F32" s="111"/>
      <x:c r="G32" s="111"/>
      <x:c r="H32" s="111"/>
      <x:c r="I32" s="111"/>
      <x:c r="J32" s="112"/>
      <x:c r="K32" s="111"/>
      <x:c r="L32" s="113"/>
      <x:c r="M32" s="113"/>
      <x:c r="N32" s="113"/>
      <x:c r="O32" s="112"/>
      <x:c r="P32" s="113"/>
      <x:c r="Q32" s="113"/>
      <x:c r="R32" s="113"/>
      <x:c r="S32" s="113"/>
      <x:c r="T32" s="45" t="str">
        <x:f>IF(OR(G32&lt;&gt;"選定",L32="",R32=""),"",(R32-L32)*K32)</x:f>
      </x:c>
      <x:c r="U32" s="45" t="str">
        <x:f>IF(T32="","",(L32*K32+R32*K32)*'ステップ2_ルール検証'!$B$8)</x:f>
      </x:c>
      <x:c r="V32" s="45" t="str">
        <x:f>IF(T32="","",T32-U32)</x:f>
      </x:c>
      <x:c r="W32" s="45" t="str">
        <x:f>IF(OR(S32="",L32=""),"",MIN(0,(S32-L32)*K32))</x:f>
      </x:c>
      <x:c r="X32" s="42" t="str">
        <x:f>IF(V32="","",IF(V32&gt;0,"勝ち",IF(V32&lt;0,"負け","引分")))</x:f>
      </x:c>
      <x:c r="Y32" s="111"/>
      <x:c r="Z32" s="111"/>
    </x:row>
    <x:row r="33">
      <x:c r="A33" s="111"/>
      <x:c r="B33" s="111"/>
      <x:c r="C33" s="112"/>
      <x:c r="D33" s="111"/>
      <x:c r="E33" s="111"/>
      <x:c r="F33" s="111"/>
      <x:c r="G33" s="111"/>
      <x:c r="H33" s="111"/>
      <x:c r="I33" s="111"/>
      <x:c r="J33" s="112"/>
      <x:c r="K33" s="111"/>
      <x:c r="L33" s="113"/>
      <x:c r="M33" s="113"/>
      <x:c r="N33" s="113"/>
      <x:c r="O33" s="112"/>
      <x:c r="P33" s="113"/>
      <x:c r="Q33" s="113"/>
      <x:c r="R33" s="113"/>
      <x:c r="S33" s="113"/>
      <x:c r="T33" s="45" t="str">
        <x:f>IF(OR(G33&lt;&gt;"選定",L33="",R33=""),"",(R33-L33)*K33)</x:f>
      </x:c>
      <x:c r="U33" s="45" t="str">
        <x:f>IF(T33="","",(L33*K33+R33*K33)*'ステップ2_ルール検証'!$B$8)</x:f>
      </x:c>
      <x:c r="V33" s="45" t="str">
        <x:f>IF(T33="","",T33-U33)</x:f>
      </x:c>
      <x:c r="W33" s="45" t="str">
        <x:f>IF(OR(S33="",L33=""),"",MIN(0,(S33-L33)*K33))</x:f>
      </x:c>
      <x:c r="X33" s="42" t="str">
        <x:f>IF(V33="","",IF(V33&gt;0,"勝ち",IF(V33&lt;0,"負け","引分")))</x:f>
      </x:c>
      <x:c r="Y33" s="111"/>
      <x:c r="Z33" s="111"/>
    </x:row>
    <x:row r="34">
      <x:c r="A34" s="111"/>
      <x:c r="B34" s="111"/>
      <x:c r="C34" s="112"/>
      <x:c r="D34" s="111"/>
      <x:c r="E34" s="111"/>
      <x:c r="F34" s="111"/>
      <x:c r="G34" s="111"/>
      <x:c r="H34" s="111"/>
      <x:c r="I34" s="111"/>
      <x:c r="J34" s="112"/>
      <x:c r="K34" s="111"/>
      <x:c r="L34" s="113"/>
      <x:c r="M34" s="113"/>
      <x:c r="N34" s="113"/>
      <x:c r="O34" s="112"/>
      <x:c r="P34" s="113"/>
      <x:c r="Q34" s="113"/>
      <x:c r="R34" s="113"/>
      <x:c r="S34" s="113"/>
      <x:c r="T34" s="45" t="str">
        <x:f>IF(OR(G34&lt;&gt;"選定",L34="",R34=""),"",(R34-L34)*K34)</x:f>
      </x:c>
      <x:c r="U34" s="45" t="str">
        <x:f>IF(T34="","",(L34*K34+R34*K34)*'ステップ2_ルール検証'!$B$8)</x:f>
      </x:c>
      <x:c r="V34" s="45" t="str">
        <x:f>IF(T34="","",T34-U34)</x:f>
      </x:c>
      <x:c r="W34" s="45" t="str">
        <x:f>IF(OR(S34="",L34=""),"",MIN(0,(S34-L34)*K34))</x:f>
      </x:c>
      <x:c r="X34" s="42" t="str">
        <x:f>IF(V34="","",IF(V34&gt;0,"勝ち",IF(V34&lt;0,"負け","引分")))</x:f>
      </x:c>
      <x:c r="Y34" s="111"/>
      <x:c r="Z34" s="111"/>
    </x:row>
    <x:row r="35">
      <x:c r="A35" s="111"/>
      <x:c r="B35" s="111"/>
      <x:c r="C35" s="112"/>
      <x:c r="D35" s="111"/>
      <x:c r="E35" s="111"/>
      <x:c r="F35" s="111"/>
      <x:c r="G35" s="111"/>
      <x:c r="H35" s="111"/>
      <x:c r="I35" s="111"/>
      <x:c r="J35" s="112"/>
      <x:c r="K35" s="111"/>
      <x:c r="L35" s="113"/>
      <x:c r="M35" s="113"/>
      <x:c r="N35" s="113"/>
      <x:c r="O35" s="112"/>
      <x:c r="P35" s="113"/>
      <x:c r="Q35" s="113"/>
      <x:c r="R35" s="113"/>
      <x:c r="S35" s="113"/>
      <x:c r="T35" s="45" t="str">
        <x:f>IF(OR(G35&lt;&gt;"選定",L35="",R35=""),"",(R35-L35)*K35)</x:f>
      </x:c>
      <x:c r="U35" s="45" t="str">
        <x:f>IF(T35="","",(L35*K35+R35*K35)*'ステップ2_ルール検証'!$B$8)</x:f>
      </x:c>
      <x:c r="V35" s="45" t="str">
        <x:f>IF(T35="","",T35-U35)</x:f>
      </x:c>
      <x:c r="W35" s="45" t="str">
        <x:f>IF(OR(S35="",L35=""),"",MIN(0,(S35-L35)*K35))</x:f>
      </x:c>
      <x:c r="X35" s="42" t="str">
        <x:f>IF(V35="","",IF(V35&gt;0,"勝ち",IF(V35&lt;0,"負け","引分")))</x:f>
      </x:c>
      <x:c r="Y35" s="111"/>
      <x:c r="Z35" s="111"/>
    </x:row>
    <x:row r="36">
      <x:c r="A36" s="111"/>
      <x:c r="B36" s="111"/>
      <x:c r="C36" s="112"/>
      <x:c r="D36" s="111"/>
      <x:c r="E36" s="111"/>
      <x:c r="F36" s="111"/>
      <x:c r="G36" s="111"/>
      <x:c r="H36" s="111"/>
      <x:c r="I36" s="111"/>
      <x:c r="J36" s="112"/>
      <x:c r="K36" s="111"/>
      <x:c r="L36" s="113"/>
      <x:c r="M36" s="113"/>
      <x:c r="N36" s="113"/>
      <x:c r="O36" s="112"/>
      <x:c r="P36" s="113"/>
      <x:c r="Q36" s="113"/>
      <x:c r="R36" s="113"/>
      <x:c r="S36" s="113"/>
      <x:c r="T36" s="45" t="str">
        <x:f>IF(OR(G36&lt;&gt;"選定",L36="",R36=""),"",(R36-L36)*K36)</x:f>
      </x:c>
      <x:c r="U36" s="45" t="str">
        <x:f>IF(T36="","",(L36*K36+R36*K36)*'ステップ2_ルール検証'!$B$8)</x:f>
      </x:c>
      <x:c r="V36" s="45" t="str">
        <x:f>IF(T36="","",T36-U36)</x:f>
      </x:c>
      <x:c r="W36" s="45" t="str">
        <x:f>IF(OR(S36="",L36=""),"",MIN(0,(S36-L36)*K36))</x:f>
      </x:c>
      <x:c r="X36" s="42" t="str">
        <x:f>IF(V36="","",IF(V36&gt;0,"勝ち",IF(V36&lt;0,"負け","引分")))</x:f>
      </x:c>
      <x:c r="Y36" s="111"/>
      <x:c r="Z36" s="111"/>
    </x:row>
    <x:row r="37">
      <x:c r="A37" s="111"/>
      <x:c r="B37" s="111"/>
      <x:c r="C37" s="112"/>
      <x:c r="D37" s="111"/>
      <x:c r="E37" s="111"/>
      <x:c r="F37" s="111"/>
      <x:c r="G37" s="111"/>
      <x:c r="H37" s="111"/>
      <x:c r="I37" s="111"/>
      <x:c r="J37" s="112"/>
      <x:c r="K37" s="111"/>
      <x:c r="L37" s="113"/>
      <x:c r="M37" s="113"/>
      <x:c r="N37" s="113"/>
      <x:c r="O37" s="112"/>
      <x:c r="P37" s="113"/>
      <x:c r="Q37" s="113"/>
      <x:c r="R37" s="113"/>
      <x:c r="S37" s="113"/>
      <x:c r="T37" s="45" t="str">
        <x:f>IF(OR(G37&lt;&gt;"選定",L37="",R37=""),"",(R37-L37)*K37)</x:f>
      </x:c>
      <x:c r="U37" s="45" t="str">
        <x:f>IF(T37="","",(L37*K37+R37*K37)*'ステップ2_ルール検証'!$B$8)</x:f>
      </x:c>
      <x:c r="V37" s="45" t="str">
        <x:f>IF(T37="","",T37-U37)</x:f>
      </x:c>
      <x:c r="W37" s="45" t="str">
        <x:f>IF(OR(S37="",L37=""),"",MIN(0,(S37-L37)*K37))</x:f>
      </x:c>
      <x:c r="X37" s="42" t="str">
        <x:f>IF(V37="","",IF(V37&gt;0,"勝ち",IF(V37&lt;0,"負け","引分")))</x:f>
      </x:c>
      <x:c r="Y37" s="111"/>
      <x:c r="Z37" s="111"/>
    </x:row>
    <x:row r="38">
      <x:c r="A38" s="111"/>
      <x:c r="B38" s="111"/>
      <x:c r="C38" s="112"/>
      <x:c r="D38" s="111"/>
      <x:c r="E38" s="111"/>
      <x:c r="F38" s="111"/>
      <x:c r="G38" s="111"/>
      <x:c r="H38" s="111"/>
      <x:c r="I38" s="111"/>
      <x:c r="J38" s="112"/>
      <x:c r="K38" s="111"/>
      <x:c r="L38" s="113"/>
      <x:c r="M38" s="113"/>
      <x:c r="N38" s="113"/>
      <x:c r="O38" s="112"/>
      <x:c r="P38" s="113"/>
      <x:c r="Q38" s="113"/>
      <x:c r="R38" s="113"/>
      <x:c r="S38" s="113"/>
      <x:c r="T38" s="45" t="str">
        <x:f>IF(OR(G38&lt;&gt;"選定",L38="",R38=""),"",(R38-L38)*K38)</x:f>
      </x:c>
      <x:c r="U38" s="45" t="str">
        <x:f>IF(T38="","",(L38*K38+R38*K38)*'ステップ2_ルール検証'!$B$8)</x:f>
      </x:c>
      <x:c r="V38" s="45" t="str">
        <x:f>IF(T38="","",T38-U38)</x:f>
      </x:c>
      <x:c r="W38" s="45" t="str">
        <x:f>IF(OR(S38="",L38=""),"",MIN(0,(S38-L38)*K38))</x:f>
      </x:c>
      <x:c r="X38" s="42" t="str">
        <x:f>IF(V38="","",IF(V38&gt;0,"勝ち",IF(V38&lt;0,"負け","引分")))</x:f>
      </x:c>
      <x:c r="Y38" s="111"/>
      <x:c r="Z38" s="111"/>
    </x:row>
    <x:row r="39">
      <x:c r="A39" s="111"/>
      <x:c r="B39" s="111"/>
      <x:c r="C39" s="112"/>
      <x:c r="D39" s="111"/>
      <x:c r="E39" s="111"/>
      <x:c r="F39" s="111"/>
      <x:c r="G39" s="111"/>
      <x:c r="H39" s="111"/>
      <x:c r="I39" s="111"/>
      <x:c r="J39" s="112"/>
      <x:c r="K39" s="111"/>
      <x:c r="L39" s="113"/>
      <x:c r="M39" s="113"/>
      <x:c r="N39" s="113"/>
      <x:c r="O39" s="112"/>
      <x:c r="P39" s="113"/>
      <x:c r="Q39" s="113"/>
      <x:c r="R39" s="113"/>
      <x:c r="S39" s="113"/>
      <x:c r="T39" s="45" t="str">
        <x:f>IF(OR(G39&lt;&gt;"選定",L39="",R39=""),"",(R39-L39)*K39)</x:f>
      </x:c>
      <x:c r="U39" s="45" t="str">
        <x:f>IF(T39="","",(L39*K39+R39*K39)*'ステップ2_ルール検証'!$B$8)</x:f>
      </x:c>
      <x:c r="V39" s="45" t="str">
        <x:f>IF(T39="","",T39-U39)</x:f>
      </x:c>
      <x:c r="W39" s="45" t="str">
        <x:f>IF(OR(S39="",L39=""),"",MIN(0,(S39-L39)*K39))</x:f>
      </x:c>
      <x:c r="X39" s="42" t="str">
        <x:f>IF(V39="","",IF(V39&gt;0,"勝ち",IF(V39&lt;0,"負け","引分")))</x:f>
      </x:c>
      <x:c r="Y39" s="111"/>
      <x:c r="Z39" s="111"/>
    </x:row>
    <x:row r="40">
      <x:c r="A40" s="111"/>
      <x:c r="B40" s="111"/>
      <x:c r="C40" s="112"/>
      <x:c r="D40" s="111"/>
      <x:c r="E40" s="111"/>
      <x:c r="F40" s="111"/>
      <x:c r="G40" s="111"/>
      <x:c r="H40" s="111"/>
      <x:c r="I40" s="111"/>
      <x:c r="J40" s="112"/>
      <x:c r="K40" s="111"/>
      <x:c r="L40" s="113"/>
      <x:c r="M40" s="113"/>
      <x:c r="N40" s="113"/>
      <x:c r="O40" s="112"/>
      <x:c r="P40" s="113"/>
      <x:c r="Q40" s="113"/>
      <x:c r="R40" s="113"/>
      <x:c r="S40" s="113"/>
      <x:c r="T40" s="45" t="str">
        <x:f>IF(OR(G40&lt;&gt;"選定",L40="",R40=""),"",(R40-L40)*K40)</x:f>
      </x:c>
      <x:c r="U40" s="45" t="str">
        <x:f>IF(T40="","",(L40*K40+R40*K40)*'ステップ2_ルール検証'!$B$8)</x:f>
      </x:c>
      <x:c r="V40" s="45" t="str">
        <x:f>IF(T40="","",T40-U40)</x:f>
      </x:c>
      <x:c r="W40" s="45" t="str">
        <x:f>IF(OR(S40="",L40=""),"",MIN(0,(S40-L40)*K40))</x:f>
      </x:c>
      <x:c r="X40" s="42" t="str">
        <x:f>IF(V40="","",IF(V40&gt;0,"勝ち",IF(V40&lt;0,"負け","引分")))</x:f>
      </x:c>
      <x:c r="Y40" s="111"/>
      <x:c r="Z40" s="111"/>
    </x:row>
    <x:row r="41">
      <x:c r="A41" s="111"/>
      <x:c r="B41" s="111"/>
      <x:c r="C41" s="112"/>
      <x:c r="D41" s="111"/>
      <x:c r="E41" s="111"/>
      <x:c r="F41" s="111"/>
      <x:c r="G41" s="111"/>
      <x:c r="H41" s="111"/>
      <x:c r="I41" s="111"/>
      <x:c r="J41" s="112"/>
      <x:c r="K41" s="111"/>
      <x:c r="L41" s="113"/>
      <x:c r="M41" s="113"/>
      <x:c r="N41" s="113"/>
      <x:c r="O41" s="112"/>
      <x:c r="P41" s="113"/>
      <x:c r="Q41" s="113"/>
      <x:c r="R41" s="113"/>
      <x:c r="S41" s="113"/>
      <x:c r="T41" s="45" t="str">
        <x:f>IF(OR(G41&lt;&gt;"選定",L41="",R41=""),"",(R41-L41)*K41)</x:f>
      </x:c>
      <x:c r="U41" s="45" t="str">
        <x:f>IF(T41="","",(L41*K41+R41*K41)*'ステップ2_ルール検証'!$B$8)</x:f>
      </x:c>
      <x:c r="V41" s="45" t="str">
        <x:f>IF(T41="","",T41-U41)</x:f>
      </x:c>
      <x:c r="W41" s="45" t="str">
        <x:f>IF(OR(S41="",L41=""),"",MIN(0,(S41-L41)*K41))</x:f>
      </x:c>
      <x:c r="X41" s="42" t="str">
        <x:f>IF(V41="","",IF(V41&gt;0,"勝ち",IF(V41&lt;0,"負け","引分")))</x:f>
      </x:c>
      <x:c r="Y41" s="111"/>
      <x:c r="Z41" s="111"/>
    </x:row>
    <x:row r="42">
      <x:c r="A42" s="111"/>
      <x:c r="B42" s="111"/>
      <x:c r="C42" s="112"/>
      <x:c r="D42" s="111"/>
      <x:c r="E42" s="111"/>
      <x:c r="F42" s="111"/>
      <x:c r="G42" s="111"/>
      <x:c r="H42" s="111"/>
      <x:c r="I42" s="111"/>
      <x:c r="J42" s="112"/>
      <x:c r="K42" s="111"/>
      <x:c r="L42" s="113"/>
      <x:c r="M42" s="113"/>
      <x:c r="N42" s="113"/>
      <x:c r="O42" s="112"/>
      <x:c r="P42" s="113"/>
      <x:c r="Q42" s="113"/>
      <x:c r="R42" s="113"/>
      <x:c r="S42" s="113"/>
      <x:c r="T42" s="45" t="str">
        <x:f>IF(OR(G42&lt;&gt;"選定",L42="",R42=""),"",(R42-L42)*K42)</x:f>
      </x:c>
      <x:c r="U42" s="45" t="str">
        <x:f>IF(T42="","",(L42*K42+R42*K42)*'ステップ2_ルール検証'!$B$8)</x:f>
      </x:c>
      <x:c r="V42" s="45" t="str">
        <x:f>IF(T42="","",T42-U42)</x:f>
      </x:c>
      <x:c r="W42" s="45" t="str">
        <x:f>IF(OR(S42="",L42=""),"",MIN(0,(S42-L42)*K42))</x:f>
      </x:c>
      <x:c r="X42" s="42" t="str">
        <x:f>IF(V42="","",IF(V42&gt;0,"勝ち",IF(V42&lt;0,"負け","引分")))</x:f>
      </x:c>
      <x:c r="Y42" s="111"/>
      <x:c r="Z42" s="111"/>
    </x:row>
    <x:row r="43">
      <x:c r="A43" s="111"/>
      <x:c r="B43" s="111"/>
      <x:c r="C43" s="112"/>
      <x:c r="D43" s="111"/>
      <x:c r="E43" s="111"/>
      <x:c r="F43" s="111"/>
      <x:c r="G43" s="111"/>
      <x:c r="H43" s="111"/>
      <x:c r="I43" s="111"/>
      <x:c r="J43" s="112"/>
      <x:c r="K43" s="111"/>
      <x:c r="L43" s="113"/>
      <x:c r="M43" s="113"/>
      <x:c r="N43" s="113"/>
      <x:c r="O43" s="112"/>
      <x:c r="P43" s="113"/>
      <x:c r="Q43" s="113"/>
      <x:c r="R43" s="113"/>
      <x:c r="S43" s="113"/>
      <x:c r="T43" s="45" t="str">
        <x:f>IF(OR(G43&lt;&gt;"選定",L43="",R43=""),"",(R43-L43)*K43)</x:f>
      </x:c>
      <x:c r="U43" s="45" t="str">
        <x:f>IF(T43="","",(L43*K43+R43*K43)*'ステップ2_ルール検証'!$B$8)</x:f>
      </x:c>
      <x:c r="V43" s="45" t="str">
        <x:f>IF(T43="","",T43-U43)</x:f>
      </x:c>
      <x:c r="W43" s="45" t="str">
        <x:f>IF(OR(S43="",L43=""),"",MIN(0,(S43-L43)*K43))</x:f>
      </x:c>
      <x:c r="X43" s="42" t="str">
        <x:f>IF(V43="","",IF(V43&gt;0,"勝ち",IF(V43&lt;0,"負け","引分")))</x:f>
      </x:c>
      <x:c r="Y43" s="111"/>
      <x:c r="Z43" s="111"/>
    </x:row>
    <x:row r="44">
      <x:c r="A44" s="111"/>
      <x:c r="B44" s="111"/>
      <x:c r="C44" s="112"/>
      <x:c r="D44" s="111"/>
      <x:c r="E44" s="111"/>
      <x:c r="F44" s="111"/>
      <x:c r="G44" s="111"/>
      <x:c r="H44" s="111"/>
      <x:c r="I44" s="111"/>
      <x:c r="J44" s="112"/>
      <x:c r="K44" s="111"/>
      <x:c r="L44" s="113"/>
      <x:c r="M44" s="113"/>
      <x:c r="N44" s="113"/>
      <x:c r="O44" s="112"/>
      <x:c r="P44" s="113"/>
      <x:c r="Q44" s="113"/>
      <x:c r="R44" s="113"/>
      <x:c r="S44" s="113"/>
      <x:c r="T44" s="45" t="str">
        <x:f>IF(OR(G44&lt;&gt;"選定",L44="",R44=""),"",(R44-L44)*K44)</x:f>
      </x:c>
      <x:c r="U44" s="45" t="str">
        <x:f>IF(T44="","",(L44*K44+R44*K44)*'ステップ2_ルール検証'!$B$8)</x:f>
      </x:c>
      <x:c r="V44" s="45" t="str">
        <x:f>IF(T44="","",T44-U44)</x:f>
      </x:c>
      <x:c r="W44" s="45" t="str">
        <x:f>IF(OR(S44="",L44=""),"",MIN(0,(S44-L44)*K44))</x:f>
      </x:c>
      <x:c r="X44" s="42" t="str">
        <x:f>IF(V44="","",IF(V44&gt;0,"勝ち",IF(V44&lt;0,"負け","引分")))</x:f>
      </x:c>
      <x:c r="Y44" s="111"/>
      <x:c r="Z44" s="111"/>
    </x:row>
    <x:row r="45">
      <x:c r="A45" s="111"/>
      <x:c r="B45" s="111"/>
      <x:c r="C45" s="112"/>
      <x:c r="D45" s="111"/>
      <x:c r="E45" s="111"/>
      <x:c r="F45" s="111"/>
      <x:c r="G45" s="111"/>
      <x:c r="H45" s="111"/>
      <x:c r="I45" s="111"/>
      <x:c r="J45" s="112"/>
      <x:c r="K45" s="111"/>
      <x:c r="L45" s="113"/>
      <x:c r="M45" s="113"/>
      <x:c r="N45" s="113"/>
      <x:c r="O45" s="112"/>
      <x:c r="P45" s="113"/>
      <x:c r="Q45" s="113"/>
      <x:c r="R45" s="113"/>
      <x:c r="S45" s="113"/>
      <x:c r="T45" s="45" t="str">
        <x:f>IF(OR(G45&lt;&gt;"選定",L45="",R45=""),"",(R45-L45)*K45)</x:f>
      </x:c>
      <x:c r="U45" s="45" t="str">
        <x:f>IF(T45="","",(L45*K45+R45*K45)*'ステップ2_ルール検証'!$B$8)</x:f>
      </x:c>
      <x:c r="V45" s="45" t="str">
        <x:f>IF(T45="","",T45-U45)</x:f>
      </x:c>
      <x:c r="W45" s="45" t="str">
        <x:f>IF(OR(S45="",L45=""),"",MIN(0,(S45-L45)*K45))</x:f>
      </x:c>
      <x:c r="X45" s="42" t="str">
        <x:f>IF(V45="","",IF(V45&gt;0,"勝ち",IF(V45&lt;0,"負け","引分")))</x:f>
      </x:c>
      <x:c r="Y45" s="111"/>
      <x:c r="Z45" s="111"/>
    </x:row>
    <x:row r="46">
      <x:c r="A46" s="111"/>
      <x:c r="B46" s="111"/>
      <x:c r="C46" s="112"/>
      <x:c r="D46" s="111"/>
      <x:c r="E46" s="111"/>
      <x:c r="F46" s="111"/>
      <x:c r="G46" s="111"/>
      <x:c r="H46" s="111"/>
      <x:c r="I46" s="111"/>
      <x:c r="J46" s="112"/>
      <x:c r="K46" s="111"/>
      <x:c r="L46" s="113"/>
      <x:c r="M46" s="113"/>
      <x:c r="N46" s="113"/>
      <x:c r="O46" s="112"/>
      <x:c r="P46" s="113"/>
      <x:c r="Q46" s="113"/>
      <x:c r="R46" s="113"/>
      <x:c r="S46" s="113"/>
      <x:c r="T46" s="45" t="str">
        <x:f>IF(OR(G46&lt;&gt;"選定",L46="",R46=""),"",(R46-L46)*K46)</x:f>
      </x:c>
      <x:c r="U46" s="45" t="str">
        <x:f>IF(T46="","",(L46*K46+R46*K46)*'ステップ2_ルール検証'!$B$8)</x:f>
      </x:c>
      <x:c r="V46" s="45" t="str">
        <x:f>IF(T46="","",T46-U46)</x:f>
      </x:c>
      <x:c r="W46" s="45" t="str">
        <x:f>IF(OR(S46="",L46=""),"",MIN(0,(S46-L46)*K46))</x:f>
      </x:c>
      <x:c r="X46" s="42" t="str">
        <x:f>IF(V46="","",IF(V46&gt;0,"勝ち",IF(V46&lt;0,"負け","引分")))</x:f>
      </x:c>
      <x:c r="Y46" s="111"/>
      <x:c r="Z46" s="111"/>
    </x:row>
    <x:row r="47">
      <x:c r="A47" s="111"/>
      <x:c r="B47" s="111"/>
      <x:c r="C47" s="112"/>
      <x:c r="D47" s="111"/>
      <x:c r="E47" s="111"/>
      <x:c r="F47" s="111"/>
      <x:c r="G47" s="111"/>
      <x:c r="H47" s="111"/>
      <x:c r="I47" s="111"/>
      <x:c r="J47" s="112"/>
      <x:c r="K47" s="111"/>
      <x:c r="L47" s="113"/>
      <x:c r="M47" s="113"/>
      <x:c r="N47" s="113"/>
      <x:c r="O47" s="112"/>
      <x:c r="P47" s="113"/>
      <x:c r="Q47" s="113"/>
      <x:c r="R47" s="113"/>
      <x:c r="S47" s="113"/>
      <x:c r="T47" s="45" t="str">
        <x:f>IF(OR(G47&lt;&gt;"選定",L47="",R47=""),"",(R47-L47)*K47)</x:f>
      </x:c>
      <x:c r="U47" s="45" t="str">
        <x:f>IF(T47="","",(L47*K47+R47*K47)*'ステップ2_ルール検証'!$B$8)</x:f>
      </x:c>
      <x:c r="V47" s="45" t="str">
        <x:f>IF(T47="","",T47-U47)</x:f>
      </x:c>
      <x:c r="W47" s="45" t="str">
        <x:f>IF(OR(S47="",L47=""),"",MIN(0,(S47-L47)*K47))</x:f>
      </x:c>
      <x:c r="X47" s="42" t="str">
        <x:f>IF(V47="","",IF(V47&gt;0,"勝ち",IF(V47&lt;0,"負け","引分")))</x:f>
      </x:c>
      <x:c r="Y47" s="111"/>
      <x:c r="Z47" s="111"/>
    </x:row>
    <x:row r="48">
      <x:c r="A48" s="111"/>
      <x:c r="B48" s="111"/>
      <x:c r="C48" s="112"/>
      <x:c r="D48" s="111"/>
      <x:c r="E48" s="111"/>
      <x:c r="F48" s="111"/>
      <x:c r="G48" s="111"/>
      <x:c r="H48" s="111"/>
      <x:c r="I48" s="111"/>
      <x:c r="J48" s="112"/>
      <x:c r="K48" s="111"/>
      <x:c r="L48" s="113"/>
      <x:c r="M48" s="113"/>
      <x:c r="N48" s="113"/>
      <x:c r="O48" s="112"/>
      <x:c r="P48" s="113"/>
      <x:c r="Q48" s="113"/>
      <x:c r="R48" s="113"/>
      <x:c r="S48" s="113"/>
      <x:c r="T48" s="45" t="str">
        <x:f>IF(OR(G48&lt;&gt;"選定",L48="",R48=""),"",(R48-L48)*K48)</x:f>
      </x:c>
      <x:c r="U48" s="45" t="str">
        <x:f>IF(T48="","",(L48*K48+R48*K48)*'ステップ2_ルール検証'!$B$8)</x:f>
      </x:c>
      <x:c r="V48" s="45" t="str">
        <x:f>IF(T48="","",T48-U48)</x:f>
      </x:c>
      <x:c r="W48" s="45" t="str">
        <x:f>IF(OR(S48="",L48=""),"",MIN(0,(S48-L48)*K48))</x:f>
      </x:c>
      <x:c r="X48" s="42" t="str">
        <x:f>IF(V48="","",IF(V48&gt;0,"勝ち",IF(V48&lt;0,"負け","引分")))</x:f>
      </x:c>
      <x:c r="Y48" s="111"/>
      <x:c r="Z48" s="111"/>
    </x:row>
    <x:row r="49">
      <x:c r="A49" s="111"/>
      <x:c r="B49" s="111"/>
      <x:c r="C49" s="112"/>
      <x:c r="D49" s="111"/>
      <x:c r="E49" s="111"/>
      <x:c r="F49" s="111"/>
      <x:c r="G49" s="111"/>
      <x:c r="H49" s="111"/>
      <x:c r="I49" s="111"/>
      <x:c r="J49" s="112"/>
      <x:c r="K49" s="111"/>
      <x:c r="L49" s="113"/>
      <x:c r="M49" s="113"/>
      <x:c r="N49" s="113"/>
      <x:c r="O49" s="112"/>
      <x:c r="P49" s="113"/>
      <x:c r="Q49" s="113"/>
      <x:c r="R49" s="113"/>
      <x:c r="S49" s="113"/>
      <x:c r="T49" s="45" t="str">
        <x:f>IF(OR(G49&lt;&gt;"選定",L49="",R49=""),"",(R49-L49)*K49)</x:f>
      </x:c>
      <x:c r="U49" s="45" t="str">
        <x:f>IF(T49="","",(L49*K49+R49*K49)*'ステップ2_ルール検証'!$B$8)</x:f>
      </x:c>
      <x:c r="V49" s="45" t="str">
        <x:f>IF(T49="","",T49-U49)</x:f>
      </x:c>
      <x:c r="W49" s="45" t="str">
        <x:f>IF(OR(S49="",L49=""),"",MIN(0,(S49-L49)*K49))</x:f>
      </x:c>
      <x:c r="X49" s="42" t="str">
        <x:f>IF(V49="","",IF(V49&gt;0,"勝ち",IF(V49&lt;0,"負け","引分")))</x:f>
      </x:c>
      <x:c r="Y49" s="111"/>
      <x:c r="Z49" s="111"/>
    </x:row>
    <x:row r="50">
      <x:c r="A50" s="111"/>
      <x:c r="B50" s="111"/>
      <x:c r="C50" s="112"/>
      <x:c r="D50" s="111"/>
      <x:c r="E50" s="111"/>
      <x:c r="F50" s="111"/>
      <x:c r="G50" s="111"/>
      <x:c r="H50" s="111"/>
      <x:c r="I50" s="111"/>
      <x:c r="J50" s="112"/>
      <x:c r="K50" s="111"/>
      <x:c r="L50" s="113"/>
      <x:c r="M50" s="113"/>
      <x:c r="N50" s="113"/>
      <x:c r="O50" s="112"/>
      <x:c r="P50" s="113"/>
      <x:c r="Q50" s="113"/>
      <x:c r="R50" s="113"/>
      <x:c r="S50" s="113"/>
      <x:c r="T50" s="45" t="str">
        <x:f>IF(OR(G50&lt;&gt;"選定",L50="",R50=""),"",(R50-L50)*K50)</x:f>
      </x:c>
      <x:c r="U50" s="45" t="str">
        <x:f>IF(T50="","",(L50*K50+R50*K50)*'ステップ2_ルール検証'!$B$8)</x:f>
      </x:c>
      <x:c r="V50" s="45" t="str">
        <x:f>IF(T50="","",T50-U50)</x:f>
      </x:c>
      <x:c r="W50" s="45" t="str">
        <x:f>IF(OR(S50="",L50=""),"",MIN(0,(S50-L50)*K50))</x:f>
      </x:c>
      <x:c r="X50" s="42" t="str">
        <x:f>IF(V50="","",IF(V50&gt;0,"勝ち",IF(V50&lt;0,"負け","引分")))</x:f>
      </x:c>
      <x:c r="Y50" s="111"/>
      <x:c r="Z50" s="111"/>
    </x:row>
    <x:row r="51">
      <x:c r="A51" s="111"/>
      <x:c r="B51" s="111"/>
      <x:c r="C51" s="112"/>
      <x:c r="D51" s="111"/>
      <x:c r="E51" s="111"/>
      <x:c r="F51" s="111"/>
      <x:c r="G51" s="111"/>
      <x:c r="H51" s="111"/>
      <x:c r="I51" s="111"/>
      <x:c r="J51" s="112"/>
      <x:c r="K51" s="111"/>
      <x:c r="L51" s="113"/>
      <x:c r="M51" s="113"/>
      <x:c r="N51" s="113"/>
      <x:c r="O51" s="112"/>
      <x:c r="P51" s="113"/>
      <x:c r="Q51" s="113"/>
      <x:c r="R51" s="113"/>
      <x:c r="S51" s="113"/>
      <x:c r="T51" s="45" t="str">
        <x:f>IF(OR(G51&lt;&gt;"選定",L51="",R51=""),"",(R51-L51)*K51)</x:f>
      </x:c>
      <x:c r="U51" s="45" t="str">
        <x:f>IF(T51="","",(L51*K51+R51*K51)*'ステップ2_ルール検証'!$B$8)</x:f>
      </x:c>
      <x:c r="V51" s="45" t="str">
        <x:f>IF(T51="","",T51-U51)</x:f>
      </x:c>
      <x:c r="W51" s="45" t="str">
        <x:f>IF(OR(S51="",L51=""),"",MIN(0,(S51-L51)*K51))</x:f>
      </x:c>
      <x:c r="X51" s="42" t="str">
        <x:f>IF(V51="","",IF(V51&gt;0,"勝ち",IF(V51&lt;0,"負け","引分")))</x:f>
      </x:c>
      <x:c r="Y51" s="111"/>
      <x:c r="Z51" s="111"/>
    </x:row>
    <x:row r="52">
      <x:c r="A52" s="111"/>
      <x:c r="B52" s="111"/>
      <x:c r="C52" s="112"/>
      <x:c r="D52" s="111"/>
      <x:c r="E52" s="111"/>
      <x:c r="F52" s="111"/>
      <x:c r="G52" s="111"/>
      <x:c r="H52" s="111"/>
      <x:c r="I52" s="111"/>
      <x:c r="J52" s="112"/>
      <x:c r="K52" s="111"/>
      <x:c r="L52" s="113"/>
      <x:c r="M52" s="113"/>
      <x:c r="N52" s="113"/>
      <x:c r="O52" s="112"/>
      <x:c r="P52" s="113"/>
      <x:c r="Q52" s="113"/>
      <x:c r="R52" s="113"/>
      <x:c r="S52" s="113"/>
      <x:c r="T52" s="45" t="str">
        <x:f>IF(OR(G52&lt;&gt;"選定",L52="",R52=""),"",(R52-L52)*K52)</x:f>
      </x:c>
      <x:c r="U52" s="45" t="str">
        <x:f>IF(T52="","",(L52*K52+R52*K52)*'ステップ2_ルール検証'!$B$8)</x:f>
      </x:c>
      <x:c r="V52" s="45" t="str">
        <x:f>IF(T52="","",T52-U52)</x:f>
      </x:c>
      <x:c r="W52" s="45" t="str">
        <x:f>IF(OR(S52="",L52=""),"",MIN(0,(S52-L52)*K52))</x:f>
      </x:c>
      <x:c r="X52" s="42" t="str">
        <x:f>IF(V52="","",IF(V52&gt;0,"勝ち",IF(V52&lt;0,"負け","引分")))</x:f>
      </x:c>
      <x:c r="Y52" s="111"/>
      <x:c r="Z52" s="111"/>
    </x:row>
    <x:row r="53">
      <x:c r="A53" s="111"/>
      <x:c r="B53" s="111"/>
      <x:c r="C53" s="112"/>
      <x:c r="D53" s="111"/>
      <x:c r="E53" s="111"/>
      <x:c r="F53" s="111"/>
      <x:c r="G53" s="111"/>
      <x:c r="H53" s="111"/>
      <x:c r="I53" s="111"/>
      <x:c r="J53" s="112"/>
      <x:c r="K53" s="111"/>
      <x:c r="L53" s="113"/>
      <x:c r="M53" s="113"/>
      <x:c r="N53" s="113"/>
      <x:c r="O53" s="112"/>
      <x:c r="P53" s="113"/>
      <x:c r="Q53" s="113"/>
      <x:c r="R53" s="113"/>
      <x:c r="S53" s="113"/>
      <x:c r="T53" s="45" t="str">
        <x:f>IF(OR(G53&lt;&gt;"選定",L53="",R53=""),"",(R53-L53)*K53)</x:f>
      </x:c>
      <x:c r="U53" s="45" t="str">
        <x:f>IF(T53="","",(L53*K53+R53*K53)*'ステップ2_ルール検証'!$B$8)</x:f>
      </x:c>
      <x:c r="V53" s="45" t="str">
        <x:f>IF(T53="","",T53-U53)</x:f>
      </x:c>
      <x:c r="W53" s="45" t="str">
        <x:f>IF(OR(S53="",L53=""),"",MIN(0,(S53-L53)*K53))</x:f>
      </x:c>
      <x:c r="X53" s="42" t="str">
        <x:f>IF(V53="","",IF(V53&gt;0,"勝ち",IF(V53&lt;0,"負け","引分")))</x:f>
      </x:c>
      <x:c r="Y53" s="111"/>
      <x:c r="Z53" s="111"/>
    </x:row>
    <x:row r="54">
      <x:c r="A54" s="111"/>
      <x:c r="B54" s="111"/>
      <x:c r="C54" s="112"/>
      <x:c r="D54" s="111"/>
      <x:c r="E54" s="111"/>
      <x:c r="F54" s="111"/>
      <x:c r="G54" s="111"/>
      <x:c r="H54" s="111"/>
      <x:c r="I54" s="111"/>
      <x:c r="J54" s="112"/>
      <x:c r="K54" s="111"/>
      <x:c r="L54" s="113"/>
      <x:c r="M54" s="113"/>
      <x:c r="N54" s="113"/>
      <x:c r="O54" s="112"/>
      <x:c r="P54" s="113"/>
      <x:c r="Q54" s="113"/>
      <x:c r="R54" s="113"/>
      <x:c r="S54" s="113"/>
      <x:c r="T54" s="45" t="str">
        <x:f>IF(OR(G54&lt;&gt;"選定",L54="",R54=""),"",(R54-L54)*K54)</x:f>
      </x:c>
      <x:c r="U54" s="45" t="str">
        <x:f>IF(T54="","",(L54*K54+R54*K54)*'ステップ2_ルール検証'!$B$8)</x:f>
      </x:c>
      <x:c r="V54" s="45" t="str">
        <x:f>IF(T54="","",T54-U54)</x:f>
      </x:c>
      <x:c r="W54" s="45" t="str">
        <x:f>IF(OR(S54="",L54=""),"",MIN(0,(S54-L54)*K54))</x:f>
      </x:c>
      <x:c r="X54" s="42" t="str">
        <x:f>IF(V54="","",IF(V54&gt;0,"勝ち",IF(V54&lt;0,"負け","引分")))</x:f>
      </x:c>
      <x:c r="Y54" s="111"/>
      <x:c r="Z54" s="111"/>
    </x:row>
    <x:row r="55">
      <x:c r="A55" s="111"/>
      <x:c r="B55" s="111"/>
      <x:c r="C55" s="112"/>
      <x:c r="D55" s="111"/>
      <x:c r="E55" s="111"/>
      <x:c r="F55" s="111"/>
      <x:c r="G55" s="111"/>
      <x:c r="H55" s="111"/>
      <x:c r="I55" s="111"/>
      <x:c r="J55" s="112"/>
      <x:c r="K55" s="111"/>
      <x:c r="L55" s="113"/>
      <x:c r="M55" s="113"/>
      <x:c r="N55" s="113"/>
      <x:c r="O55" s="112"/>
      <x:c r="P55" s="113"/>
      <x:c r="Q55" s="113"/>
      <x:c r="R55" s="113"/>
      <x:c r="S55" s="113"/>
      <x:c r="T55" s="45" t="str">
        <x:f>IF(OR(G55&lt;&gt;"選定",L55="",R55=""),"",(R55-L55)*K55)</x:f>
      </x:c>
      <x:c r="U55" s="45" t="str">
        <x:f>IF(T55="","",(L55*K55+R55*K55)*'ステップ2_ルール検証'!$B$8)</x:f>
      </x:c>
      <x:c r="V55" s="45" t="str">
        <x:f>IF(T55="","",T55-U55)</x:f>
      </x:c>
      <x:c r="W55" s="45" t="str">
        <x:f>IF(OR(S55="",L55=""),"",MIN(0,(S55-L55)*K55))</x:f>
      </x:c>
      <x:c r="X55" s="42" t="str">
        <x:f>IF(V55="","",IF(V55&gt;0,"勝ち",IF(V55&lt;0,"負け","引分")))</x:f>
      </x:c>
      <x:c r="Y55" s="111"/>
      <x:c r="Z55" s="111"/>
    </x:row>
    <x:row r="56">
      <x:c r="A56" s="111"/>
      <x:c r="B56" s="111"/>
      <x:c r="C56" s="112"/>
      <x:c r="D56" s="111"/>
      <x:c r="E56" s="111"/>
      <x:c r="F56" s="111"/>
      <x:c r="G56" s="111"/>
      <x:c r="H56" s="111"/>
      <x:c r="I56" s="111"/>
      <x:c r="J56" s="112"/>
      <x:c r="K56" s="111"/>
      <x:c r="L56" s="113"/>
      <x:c r="M56" s="113"/>
      <x:c r="N56" s="113"/>
      <x:c r="O56" s="112"/>
      <x:c r="P56" s="113"/>
      <x:c r="Q56" s="113"/>
      <x:c r="R56" s="113"/>
      <x:c r="S56" s="113"/>
      <x:c r="T56" s="45" t="str">
        <x:f>IF(OR(G56&lt;&gt;"選定",L56="",R56=""),"",(R56-L56)*K56)</x:f>
      </x:c>
      <x:c r="U56" s="45" t="str">
        <x:f>IF(T56="","",(L56*K56+R56*K56)*'ステップ2_ルール検証'!$B$8)</x:f>
      </x:c>
      <x:c r="V56" s="45" t="str">
        <x:f>IF(T56="","",T56-U56)</x:f>
      </x:c>
      <x:c r="W56" s="45" t="str">
        <x:f>IF(OR(S56="",L56=""),"",MIN(0,(S56-L56)*K56))</x:f>
      </x:c>
      <x:c r="X56" s="42" t="str">
        <x:f>IF(V56="","",IF(V56&gt;0,"勝ち",IF(V56&lt;0,"負け","引分")))</x:f>
      </x:c>
      <x:c r="Y56" s="111"/>
      <x:c r="Z56" s="111"/>
    </x:row>
    <x:row r="57">
      <x:c r="A57" s="111"/>
      <x:c r="B57" s="111"/>
      <x:c r="C57" s="112"/>
      <x:c r="D57" s="111"/>
      <x:c r="E57" s="111"/>
      <x:c r="F57" s="111"/>
      <x:c r="G57" s="111"/>
      <x:c r="H57" s="111"/>
      <x:c r="I57" s="111"/>
      <x:c r="J57" s="112"/>
      <x:c r="K57" s="111"/>
      <x:c r="L57" s="113"/>
      <x:c r="M57" s="113"/>
      <x:c r="N57" s="113"/>
      <x:c r="O57" s="112"/>
      <x:c r="P57" s="113"/>
      <x:c r="Q57" s="113"/>
      <x:c r="R57" s="113"/>
      <x:c r="S57" s="113"/>
      <x:c r="T57" s="45" t="str">
        <x:f>IF(OR(G57&lt;&gt;"選定",L57="",R57=""),"",(R57-L57)*K57)</x:f>
      </x:c>
      <x:c r="U57" s="45" t="str">
        <x:f>IF(T57="","",(L57*K57+R57*K57)*'ステップ2_ルール検証'!$B$8)</x:f>
      </x:c>
      <x:c r="V57" s="45" t="str">
        <x:f>IF(T57="","",T57-U57)</x:f>
      </x:c>
      <x:c r="W57" s="45" t="str">
        <x:f>IF(OR(S57="",L57=""),"",MIN(0,(S57-L57)*K57))</x:f>
      </x:c>
      <x:c r="X57" s="42" t="str">
        <x:f>IF(V57="","",IF(V57&gt;0,"勝ち",IF(V57&lt;0,"負け","引分")))</x:f>
      </x:c>
      <x:c r="Y57" s="111"/>
      <x:c r="Z57" s="111"/>
    </x:row>
    <x:row r="58">
      <x:c r="A58" s="111"/>
      <x:c r="B58" s="111"/>
      <x:c r="C58" s="112"/>
      <x:c r="D58" s="111"/>
      <x:c r="E58" s="111"/>
      <x:c r="F58" s="111"/>
      <x:c r="G58" s="111"/>
      <x:c r="H58" s="111"/>
      <x:c r="I58" s="111"/>
      <x:c r="J58" s="112"/>
      <x:c r="K58" s="111"/>
      <x:c r="L58" s="113"/>
      <x:c r="M58" s="113"/>
      <x:c r="N58" s="113"/>
      <x:c r="O58" s="112"/>
      <x:c r="P58" s="113"/>
      <x:c r="Q58" s="113"/>
      <x:c r="R58" s="113"/>
      <x:c r="S58" s="113"/>
      <x:c r="T58" s="45" t="str">
        <x:f>IF(OR(G58&lt;&gt;"選定",L58="",R58=""),"",(R58-L58)*K58)</x:f>
      </x:c>
      <x:c r="U58" s="45" t="str">
        <x:f>IF(T58="","",(L58*K58+R58*K58)*'ステップ2_ルール検証'!$B$8)</x:f>
      </x:c>
      <x:c r="V58" s="45" t="str">
        <x:f>IF(T58="","",T58-U58)</x:f>
      </x:c>
      <x:c r="W58" s="45" t="str">
        <x:f>IF(OR(S58="",L58=""),"",MIN(0,(S58-L58)*K58))</x:f>
      </x:c>
      <x:c r="X58" s="42" t="str">
        <x:f>IF(V58="","",IF(V58&gt;0,"勝ち",IF(V58&lt;0,"負け","引分")))</x:f>
      </x:c>
      <x:c r="Y58" s="111"/>
      <x:c r="Z58" s="111"/>
    </x:row>
    <x:row r="59">
      <x:c r="A59" s="111"/>
      <x:c r="B59" s="111"/>
      <x:c r="C59" s="112"/>
      <x:c r="D59" s="111"/>
      <x:c r="E59" s="111"/>
      <x:c r="F59" s="111"/>
      <x:c r="G59" s="111"/>
      <x:c r="H59" s="111"/>
      <x:c r="I59" s="111"/>
      <x:c r="J59" s="112"/>
      <x:c r="K59" s="111"/>
      <x:c r="L59" s="113"/>
      <x:c r="M59" s="113"/>
      <x:c r="N59" s="113"/>
      <x:c r="O59" s="112"/>
      <x:c r="P59" s="113"/>
      <x:c r="Q59" s="113"/>
      <x:c r="R59" s="113"/>
      <x:c r="S59" s="113"/>
      <x:c r="T59" s="45" t="str">
        <x:f>IF(OR(G59&lt;&gt;"選定",L59="",R59=""),"",(R59-L59)*K59)</x:f>
      </x:c>
      <x:c r="U59" s="45" t="str">
        <x:f>IF(T59="","",(L59*K59+R59*K59)*'ステップ2_ルール検証'!$B$8)</x:f>
      </x:c>
      <x:c r="V59" s="45" t="str">
        <x:f>IF(T59="","",T59-U59)</x:f>
      </x:c>
      <x:c r="W59" s="45" t="str">
        <x:f>IF(OR(S59="",L59=""),"",MIN(0,(S59-L59)*K59))</x:f>
      </x:c>
      <x:c r="X59" s="42" t="str">
        <x:f>IF(V59="","",IF(V59&gt;0,"勝ち",IF(V59&lt;0,"負け","引分")))</x:f>
      </x:c>
      <x:c r="Y59" s="111"/>
      <x:c r="Z59" s="111"/>
    </x:row>
    <x:row r="60">
      <x:c r="A60" s="111"/>
      <x:c r="B60" s="111"/>
      <x:c r="C60" s="112"/>
      <x:c r="D60" s="111"/>
      <x:c r="E60" s="111"/>
      <x:c r="F60" s="111"/>
      <x:c r="G60" s="111"/>
      <x:c r="H60" s="111"/>
      <x:c r="I60" s="111"/>
      <x:c r="J60" s="112"/>
      <x:c r="K60" s="111"/>
      <x:c r="L60" s="113"/>
      <x:c r="M60" s="113"/>
      <x:c r="N60" s="113"/>
      <x:c r="O60" s="112"/>
      <x:c r="P60" s="113"/>
      <x:c r="Q60" s="113"/>
      <x:c r="R60" s="113"/>
      <x:c r="S60" s="113"/>
      <x:c r="T60" s="45" t="str">
        <x:f>IF(OR(G60&lt;&gt;"選定",L60="",R60=""),"",(R60-L60)*K60)</x:f>
      </x:c>
      <x:c r="U60" s="45" t="str">
        <x:f>IF(T60="","",(L60*K60+R60*K60)*'ステップ2_ルール検証'!$B$8)</x:f>
      </x:c>
      <x:c r="V60" s="45" t="str">
        <x:f>IF(T60="","",T60-U60)</x:f>
      </x:c>
      <x:c r="W60" s="45" t="str">
        <x:f>IF(OR(S60="",L60=""),"",MIN(0,(S60-L60)*K60))</x:f>
      </x:c>
      <x:c r="X60" s="42" t="str">
        <x:f>IF(V60="","",IF(V60&gt;0,"勝ち",IF(V60&lt;0,"負け","引分")))</x:f>
      </x:c>
      <x:c r="Y60" s="111"/>
      <x:c r="Z60" s="111"/>
    </x:row>
    <x:row r="61">
      <x:c r="A61" s="111"/>
      <x:c r="B61" s="111"/>
      <x:c r="C61" s="112"/>
      <x:c r="D61" s="111"/>
      <x:c r="E61" s="111"/>
      <x:c r="F61" s="111"/>
      <x:c r="G61" s="111"/>
      <x:c r="H61" s="111"/>
      <x:c r="I61" s="111"/>
      <x:c r="J61" s="112"/>
      <x:c r="K61" s="111"/>
      <x:c r="L61" s="113"/>
      <x:c r="M61" s="113"/>
      <x:c r="N61" s="113"/>
      <x:c r="O61" s="112"/>
      <x:c r="P61" s="113"/>
      <x:c r="Q61" s="113"/>
      <x:c r="R61" s="113"/>
      <x:c r="S61" s="113"/>
      <x:c r="T61" s="45" t="str">
        <x:f>IF(OR(G61&lt;&gt;"選定",L61="",R61=""),"",(R61-L61)*K61)</x:f>
      </x:c>
      <x:c r="U61" s="45" t="str">
        <x:f>IF(T61="","",(L61*K61+R61*K61)*'ステップ2_ルール検証'!$B$8)</x:f>
      </x:c>
      <x:c r="V61" s="45" t="str">
        <x:f>IF(T61="","",T61-U61)</x:f>
      </x:c>
      <x:c r="W61" s="45" t="str">
        <x:f>IF(OR(S61="",L61=""),"",MIN(0,(S61-L61)*K61))</x:f>
      </x:c>
      <x:c r="X61" s="42" t="str">
        <x:f>IF(V61="","",IF(V61&gt;0,"勝ち",IF(V61&lt;0,"負け","引分")))</x:f>
      </x:c>
      <x:c r="Y61" s="111"/>
      <x:c r="Z61" s="111"/>
    </x:row>
    <x:row r="62">
      <x:c r="A62" s="111"/>
      <x:c r="B62" s="111"/>
      <x:c r="C62" s="112"/>
      <x:c r="D62" s="111"/>
      <x:c r="E62" s="111"/>
      <x:c r="F62" s="111"/>
      <x:c r="G62" s="111"/>
      <x:c r="H62" s="111"/>
      <x:c r="I62" s="111"/>
      <x:c r="J62" s="112"/>
      <x:c r="K62" s="111"/>
      <x:c r="L62" s="113"/>
      <x:c r="M62" s="113"/>
      <x:c r="N62" s="113"/>
      <x:c r="O62" s="112"/>
      <x:c r="P62" s="113"/>
      <x:c r="Q62" s="113"/>
      <x:c r="R62" s="113"/>
      <x:c r="S62" s="113"/>
      <x:c r="T62" s="45" t="str">
        <x:f>IF(OR(G62&lt;&gt;"選定",L62="",R62=""),"",(R62-L62)*K62)</x:f>
      </x:c>
      <x:c r="U62" s="45" t="str">
        <x:f>IF(T62="","",(L62*K62+R62*K62)*'ステップ2_ルール検証'!$B$8)</x:f>
      </x:c>
      <x:c r="V62" s="45" t="str">
        <x:f>IF(T62="","",T62-U62)</x:f>
      </x:c>
      <x:c r="W62" s="45" t="str">
        <x:f>IF(OR(S62="",L62=""),"",MIN(0,(S62-L62)*K62))</x:f>
      </x:c>
      <x:c r="X62" s="42" t="str">
        <x:f>IF(V62="","",IF(V62&gt;0,"勝ち",IF(V62&lt;0,"負け","引分")))</x:f>
      </x:c>
      <x:c r="Y62" s="111"/>
      <x:c r="Z62" s="111"/>
    </x:row>
    <x:row r="63">
      <x:c r="A63" s="111"/>
      <x:c r="B63" s="111"/>
      <x:c r="C63" s="112"/>
      <x:c r="D63" s="111"/>
      <x:c r="E63" s="111"/>
      <x:c r="F63" s="111"/>
      <x:c r="G63" s="111"/>
      <x:c r="H63" s="111"/>
      <x:c r="I63" s="111"/>
      <x:c r="J63" s="112"/>
      <x:c r="K63" s="111"/>
      <x:c r="L63" s="113"/>
      <x:c r="M63" s="113"/>
      <x:c r="N63" s="113"/>
      <x:c r="O63" s="112"/>
      <x:c r="P63" s="113"/>
      <x:c r="Q63" s="113"/>
      <x:c r="R63" s="113"/>
      <x:c r="S63" s="113"/>
      <x:c r="T63" s="45" t="str">
        <x:f>IF(OR(G63&lt;&gt;"選定",L63="",R63=""),"",(R63-L63)*K63)</x:f>
      </x:c>
      <x:c r="U63" s="45" t="str">
        <x:f>IF(T63="","",(L63*K63+R63*K63)*'ステップ2_ルール検証'!$B$8)</x:f>
      </x:c>
      <x:c r="V63" s="45" t="str">
        <x:f>IF(T63="","",T63-U63)</x:f>
      </x:c>
      <x:c r="W63" s="45" t="str">
        <x:f>IF(OR(S63="",L63=""),"",MIN(0,(S63-L63)*K63))</x:f>
      </x:c>
      <x:c r="X63" s="42" t="str">
        <x:f>IF(V63="","",IF(V63&gt;0,"勝ち",IF(V63&lt;0,"負け","引分")))</x:f>
      </x:c>
      <x:c r="Y63" s="111"/>
      <x:c r="Z63" s="111"/>
    </x:row>
    <x:row r="64">
      <x:c r="A64" s="111"/>
      <x:c r="B64" s="111"/>
      <x:c r="C64" s="112"/>
      <x:c r="D64" s="111"/>
      <x:c r="E64" s="111"/>
      <x:c r="F64" s="111"/>
      <x:c r="G64" s="111"/>
      <x:c r="H64" s="111"/>
      <x:c r="I64" s="111"/>
      <x:c r="J64" s="112"/>
      <x:c r="K64" s="111"/>
      <x:c r="L64" s="113"/>
      <x:c r="M64" s="113"/>
      <x:c r="N64" s="113"/>
      <x:c r="O64" s="112"/>
      <x:c r="P64" s="113"/>
      <x:c r="Q64" s="113"/>
      <x:c r="R64" s="113"/>
      <x:c r="S64" s="113"/>
      <x:c r="T64" s="45" t="str">
        <x:f>IF(OR(G64&lt;&gt;"選定",L64="",R64=""),"",(R64-L64)*K64)</x:f>
      </x:c>
      <x:c r="U64" s="45" t="str">
        <x:f>IF(T64="","",(L64*K64+R64*K64)*'ステップ2_ルール検証'!$B$8)</x:f>
      </x:c>
      <x:c r="V64" s="45" t="str">
        <x:f>IF(T64="","",T64-U64)</x:f>
      </x:c>
      <x:c r="W64" s="45" t="str">
        <x:f>IF(OR(S64="",L64=""),"",MIN(0,(S64-L64)*K64))</x:f>
      </x:c>
      <x:c r="X64" s="42" t="str">
        <x:f>IF(V64="","",IF(V64&gt;0,"勝ち",IF(V64&lt;0,"負け","引分")))</x:f>
      </x:c>
      <x:c r="Y64" s="111"/>
      <x:c r="Z64" s="111"/>
    </x:row>
    <x:row r="65">
      <x:c r="A65" s="111"/>
      <x:c r="B65" s="111"/>
      <x:c r="C65" s="112"/>
      <x:c r="D65" s="111"/>
      <x:c r="E65" s="111"/>
      <x:c r="F65" s="111"/>
      <x:c r="G65" s="111"/>
      <x:c r="H65" s="111"/>
      <x:c r="I65" s="111"/>
      <x:c r="J65" s="112"/>
      <x:c r="K65" s="111"/>
      <x:c r="L65" s="113"/>
      <x:c r="M65" s="113"/>
      <x:c r="N65" s="113"/>
      <x:c r="O65" s="112"/>
      <x:c r="P65" s="113"/>
      <x:c r="Q65" s="113"/>
      <x:c r="R65" s="113"/>
      <x:c r="S65" s="113"/>
      <x:c r="T65" s="45" t="str">
        <x:f>IF(OR(G65&lt;&gt;"選定",L65="",R65=""),"",(R65-L65)*K65)</x:f>
      </x:c>
      <x:c r="U65" s="45" t="str">
        <x:f>IF(T65="","",(L65*K65+R65*K65)*'ステップ2_ルール検証'!$B$8)</x:f>
      </x:c>
      <x:c r="V65" s="45" t="str">
        <x:f>IF(T65="","",T65-U65)</x:f>
      </x:c>
      <x:c r="W65" s="45" t="str">
        <x:f>IF(OR(S65="",L65=""),"",MIN(0,(S65-L65)*K65))</x:f>
      </x:c>
      <x:c r="X65" s="42" t="str">
        <x:f>IF(V65="","",IF(V65&gt;0,"勝ち",IF(V65&lt;0,"負け","引分")))</x:f>
      </x:c>
      <x:c r="Y65" s="111"/>
      <x:c r="Z65" s="111"/>
    </x:row>
    <x:row r="66">
      <x:c r="A66" s="111"/>
      <x:c r="B66" s="111"/>
      <x:c r="C66" s="112"/>
      <x:c r="D66" s="111"/>
      <x:c r="E66" s="111"/>
      <x:c r="F66" s="111"/>
      <x:c r="G66" s="111"/>
      <x:c r="H66" s="111"/>
      <x:c r="I66" s="111"/>
      <x:c r="J66" s="112"/>
      <x:c r="K66" s="111"/>
      <x:c r="L66" s="113"/>
      <x:c r="M66" s="113"/>
      <x:c r="N66" s="113"/>
      <x:c r="O66" s="112"/>
      <x:c r="P66" s="113"/>
      <x:c r="Q66" s="113"/>
      <x:c r="R66" s="113"/>
      <x:c r="S66" s="113"/>
      <x:c r="T66" s="45" t="str">
        <x:f>IF(OR(G66&lt;&gt;"選定",L66="",R66=""),"",(R66-L66)*K66)</x:f>
      </x:c>
      <x:c r="U66" s="45" t="str">
        <x:f>IF(T66="","",(L66*K66+R66*K66)*'ステップ2_ルール検証'!$B$8)</x:f>
      </x:c>
      <x:c r="V66" s="45" t="str">
        <x:f>IF(T66="","",T66-U66)</x:f>
      </x:c>
      <x:c r="W66" s="45" t="str">
        <x:f>IF(OR(S66="",L66=""),"",MIN(0,(S66-L66)*K66))</x:f>
      </x:c>
      <x:c r="X66" s="42" t="str">
        <x:f>IF(V66="","",IF(V66&gt;0,"勝ち",IF(V66&lt;0,"負け","引分")))</x:f>
      </x:c>
      <x:c r="Y66" s="111"/>
      <x:c r="Z66" s="111"/>
    </x:row>
    <x:row r="67">
      <x:c r="A67" s="111"/>
      <x:c r="B67" s="111"/>
      <x:c r="C67" s="112"/>
      <x:c r="D67" s="111"/>
      <x:c r="E67" s="111"/>
      <x:c r="F67" s="111"/>
      <x:c r="G67" s="111"/>
      <x:c r="H67" s="111"/>
      <x:c r="I67" s="111"/>
      <x:c r="J67" s="112"/>
      <x:c r="K67" s="111"/>
      <x:c r="L67" s="113"/>
      <x:c r="M67" s="113"/>
      <x:c r="N67" s="113"/>
      <x:c r="O67" s="112"/>
      <x:c r="P67" s="113"/>
      <x:c r="Q67" s="113"/>
      <x:c r="R67" s="113"/>
      <x:c r="S67" s="113"/>
      <x:c r="T67" s="45" t="str">
        <x:f>IF(OR(G67&lt;&gt;"選定",L67="",R67=""),"",(R67-L67)*K67)</x:f>
      </x:c>
      <x:c r="U67" s="45" t="str">
        <x:f>IF(T67="","",(L67*K67+R67*K67)*'ステップ2_ルール検証'!$B$8)</x:f>
      </x:c>
      <x:c r="V67" s="45" t="str">
        <x:f>IF(T67="","",T67-U67)</x:f>
      </x:c>
      <x:c r="W67" s="45" t="str">
        <x:f>IF(OR(S67="",L67=""),"",MIN(0,(S67-L67)*K67))</x:f>
      </x:c>
      <x:c r="X67" s="42" t="str">
        <x:f>IF(V67="","",IF(V67&gt;0,"勝ち",IF(V67&lt;0,"負け","引分")))</x:f>
      </x:c>
      <x:c r="Y67" s="111"/>
      <x:c r="Z67" s="111"/>
    </x:row>
    <x:row r="68">
      <x:c r="A68" s="111"/>
      <x:c r="B68" s="111"/>
      <x:c r="C68" s="112"/>
      <x:c r="D68" s="111"/>
      <x:c r="E68" s="111"/>
      <x:c r="F68" s="111"/>
      <x:c r="G68" s="111"/>
      <x:c r="H68" s="111"/>
      <x:c r="I68" s="111"/>
      <x:c r="J68" s="112"/>
      <x:c r="K68" s="111"/>
      <x:c r="L68" s="113"/>
      <x:c r="M68" s="113"/>
      <x:c r="N68" s="113"/>
      <x:c r="O68" s="112"/>
      <x:c r="P68" s="113"/>
      <x:c r="Q68" s="113"/>
      <x:c r="R68" s="113"/>
      <x:c r="S68" s="113"/>
      <x:c r="T68" s="45" t="str">
        <x:f>IF(OR(G68&lt;&gt;"選定",L68="",R68=""),"",(R68-L68)*K68)</x:f>
      </x:c>
      <x:c r="U68" s="45" t="str">
        <x:f>IF(T68="","",(L68*K68+R68*K68)*'ステップ2_ルール検証'!$B$8)</x:f>
      </x:c>
      <x:c r="V68" s="45" t="str">
        <x:f>IF(T68="","",T68-U68)</x:f>
      </x:c>
      <x:c r="W68" s="45" t="str">
        <x:f>IF(OR(S68="",L68=""),"",MIN(0,(S68-L68)*K68))</x:f>
      </x:c>
      <x:c r="X68" s="42" t="str">
        <x:f>IF(V68="","",IF(V68&gt;0,"勝ち",IF(V68&lt;0,"負け","引分")))</x:f>
      </x:c>
      <x:c r="Y68" s="111"/>
      <x:c r="Z68" s="111"/>
    </x:row>
    <x:row r="69">
      <x:c r="A69" s="111"/>
      <x:c r="B69" s="111"/>
      <x:c r="C69" s="112"/>
      <x:c r="D69" s="111"/>
      <x:c r="E69" s="111"/>
      <x:c r="F69" s="111"/>
      <x:c r="G69" s="111"/>
      <x:c r="H69" s="111"/>
      <x:c r="I69" s="111"/>
      <x:c r="J69" s="112"/>
      <x:c r="K69" s="111"/>
      <x:c r="L69" s="113"/>
      <x:c r="M69" s="113"/>
      <x:c r="N69" s="113"/>
      <x:c r="O69" s="112"/>
      <x:c r="P69" s="113"/>
      <x:c r="Q69" s="113"/>
      <x:c r="R69" s="113"/>
      <x:c r="S69" s="113"/>
      <x:c r="T69" s="45" t="str">
        <x:f>IF(OR(G69&lt;&gt;"選定",L69="",R69=""),"",(R69-L69)*K69)</x:f>
      </x:c>
      <x:c r="U69" s="45" t="str">
        <x:f>IF(T69="","",(L69*K69+R69*K69)*'ステップ2_ルール検証'!$B$8)</x:f>
      </x:c>
      <x:c r="V69" s="45" t="str">
        <x:f>IF(T69="","",T69-U69)</x:f>
      </x:c>
      <x:c r="W69" s="45" t="str">
        <x:f>IF(OR(S69="",L69=""),"",MIN(0,(S69-L69)*K69))</x:f>
      </x:c>
      <x:c r="X69" s="42" t="str">
        <x:f>IF(V69="","",IF(V69&gt;0,"勝ち",IF(V69&lt;0,"負け","引分")))</x:f>
      </x:c>
      <x:c r="Y69" s="111"/>
      <x:c r="Z69" s="111"/>
    </x:row>
    <x:row r="70">
      <x:c r="A70" s="111"/>
      <x:c r="B70" s="111"/>
      <x:c r="C70" s="112"/>
      <x:c r="D70" s="111"/>
      <x:c r="E70" s="111"/>
      <x:c r="F70" s="111"/>
      <x:c r="G70" s="111"/>
      <x:c r="H70" s="111"/>
      <x:c r="I70" s="111"/>
      <x:c r="J70" s="112"/>
      <x:c r="K70" s="111"/>
      <x:c r="L70" s="113"/>
      <x:c r="M70" s="113"/>
      <x:c r="N70" s="113"/>
      <x:c r="O70" s="112"/>
      <x:c r="P70" s="113"/>
      <x:c r="Q70" s="113"/>
      <x:c r="R70" s="113"/>
      <x:c r="S70" s="113"/>
      <x:c r="T70" s="45" t="str">
        <x:f>IF(OR(G70&lt;&gt;"選定",L70="",R70=""),"",(R70-L70)*K70)</x:f>
      </x:c>
      <x:c r="U70" s="45" t="str">
        <x:f>IF(T70="","",(L70*K70+R70*K70)*'ステップ2_ルール検証'!$B$8)</x:f>
      </x:c>
      <x:c r="V70" s="45" t="str">
        <x:f>IF(T70="","",T70-U70)</x:f>
      </x:c>
      <x:c r="W70" s="45" t="str">
        <x:f>IF(OR(S70="",L70=""),"",MIN(0,(S70-L70)*K70))</x:f>
      </x:c>
      <x:c r="X70" s="42" t="str">
        <x:f>IF(V70="","",IF(V70&gt;0,"勝ち",IF(V70&lt;0,"負け","引分")))</x:f>
      </x:c>
      <x:c r="Y70" s="111"/>
      <x:c r="Z70" s="111"/>
    </x:row>
    <x:row r="71">
      <x:c r="A71" s="111"/>
      <x:c r="B71" s="111"/>
      <x:c r="C71" s="112"/>
      <x:c r="D71" s="111"/>
      <x:c r="E71" s="111"/>
      <x:c r="F71" s="111"/>
      <x:c r="G71" s="111"/>
      <x:c r="H71" s="111"/>
      <x:c r="I71" s="111"/>
      <x:c r="J71" s="112"/>
      <x:c r="K71" s="111"/>
      <x:c r="L71" s="113"/>
      <x:c r="M71" s="113"/>
      <x:c r="N71" s="113"/>
      <x:c r="O71" s="112"/>
      <x:c r="P71" s="113"/>
      <x:c r="Q71" s="113"/>
      <x:c r="R71" s="113"/>
      <x:c r="S71" s="113"/>
      <x:c r="T71" s="45" t="str">
        <x:f>IF(OR(G71&lt;&gt;"選定",L71="",R71=""),"",(R71-L71)*K71)</x:f>
      </x:c>
      <x:c r="U71" s="45" t="str">
        <x:f>IF(T71="","",(L71*K71+R71*K71)*'ステップ2_ルール検証'!$B$8)</x:f>
      </x:c>
      <x:c r="V71" s="45" t="str">
        <x:f>IF(T71="","",T71-U71)</x:f>
      </x:c>
      <x:c r="W71" s="45" t="str">
        <x:f>IF(OR(S71="",L71=""),"",MIN(0,(S71-L71)*K71))</x:f>
      </x:c>
      <x:c r="X71" s="42" t="str">
        <x:f>IF(V71="","",IF(V71&gt;0,"勝ち",IF(V71&lt;0,"負け","引分")))</x:f>
      </x:c>
      <x:c r="Y71" s="111"/>
      <x:c r="Z71" s="111"/>
    </x:row>
    <x:row r="72">
      <x:c r="A72" s="111"/>
      <x:c r="B72" s="111"/>
      <x:c r="C72" s="112"/>
      <x:c r="D72" s="111"/>
      <x:c r="E72" s="111"/>
      <x:c r="F72" s="111"/>
      <x:c r="G72" s="111"/>
      <x:c r="H72" s="111"/>
      <x:c r="I72" s="111"/>
      <x:c r="J72" s="112"/>
      <x:c r="K72" s="111"/>
      <x:c r="L72" s="113"/>
      <x:c r="M72" s="113"/>
      <x:c r="N72" s="113"/>
      <x:c r="O72" s="112"/>
      <x:c r="P72" s="113"/>
      <x:c r="Q72" s="113"/>
      <x:c r="R72" s="113"/>
      <x:c r="S72" s="113"/>
      <x:c r="T72" s="45" t="str">
        <x:f>IF(OR(G72&lt;&gt;"選定",L72="",R72=""),"",(R72-L72)*K72)</x:f>
      </x:c>
      <x:c r="U72" s="45" t="str">
        <x:f>IF(T72="","",(L72*K72+R72*K72)*'ステップ2_ルール検証'!$B$8)</x:f>
      </x:c>
      <x:c r="V72" s="45" t="str">
        <x:f>IF(T72="","",T72-U72)</x:f>
      </x:c>
      <x:c r="W72" s="45" t="str">
        <x:f>IF(OR(S72="",L72=""),"",MIN(0,(S72-L72)*K72))</x:f>
      </x:c>
      <x:c r="X72" s="42" t="str">
        <x:f>IF(V72="","",IF(V72&gt;0,"勝ち",IF(V72&lt;0,"負け","引分")))</x:f>
      </x:c>
      <x:c r="Y72" s="111"/>
      <x:c r="Z72" s="111"/>
    </x:row>
    <x:row r="73">
      <x:c r="A73" s="111"/>
      <x:c r="B73" s="111"/>
      <x:c r="C73" s="112"/>
      <x:c r="D73" s="111"/>
      <x:c r="E73" s="111"/>
      <x:c r="F73" s="111"/>
      <x:c r="G73" s="111"/>
      <x:c r="H73" s="111"/>
      <x:c r="I73" s="111"/>
      <x:c r="J73" s="112"/>
      <x:c r="K73" s="111"/>
      <x:c r="L73" s="113"/>
      <x:c r="M73" s="113"/>
      <x:c r="N73" s="113"/>
      <x:c r="O73" s="112"/>
      <x:c r="P73" s="113"/>
      <x:c r="Q73" s="113"/>
      <x:c r="R73" s="113"/>
      <x:c r="S73" s="113"/>
      <x:c r="T73" s="45" t="str">
        <x:f>IF(OR(G73&lt;&gt;"選定",L73="",R73=""),"",(R73-L73)*K73)</x:f>
      </x:c>
      <x:c r="U73" s="45" t="str">
        <x:f>IF(T73="","",(L73*K73+R73*K73)*'ステップ2_ルール検証'!$B$8)</x:f>
      </x:c>
      <x:c r="V73" s="45" t="str">
        <x:f>IF(T73="","",T73-U73)</x:f>
      </x:c>
      <x:c r="W73" s="45" t="str">
        <x:f>IF(OR(S73="",L73=""),"",MIN(0,(S73-L73)*K73))</x:f>
      </x:c>
      <x:c r="X73" s="42" t="str">
        <x:f>IF(V73="","",IF(V73&gt;0,"勝ち",IF(V73&lt;0,"負け","引分")))</x:f>
      </x:c>
      <x:c r="Y73" s="111"/>
      <x:c r="Z73" s="111"/>
    </x:row>
    <x:row r="74">
      <x:c r="A74" s="111"/>
      <x:c r="B74" s="111"/>
      <x:c r="C74" s="112"/>
      <x:c r="D74" s="111"/>
      <x:c r="E74" s="111"/>
      <x:c r="F74" s="111"/>
      <x:c r="G74" s="111"/>
      <x:c r="H74" s="111"/>
      <x:c r="I74" s="111"/>
      <x:c r="J74" s="112"/>
      <x:c r="K74" s="111"/>
      <x:c r="L74" s="113"/>
      <x:c r="M74" s="113"/>
      <x:c r="N74" s="113"/>
      <x:c r="O74" s="112"/>
      <x:c r="P74" s="113"/>
      <x:c r="Q74" s="113"/>
      <x:c r="R74" s="113"/>
      <x:c r="S74" s="113"/>
      <x:c r="T74" s="45" t="str">
        <x:f>IF(OR(G74&lt;&gt;"選定",L74="",R74=""),"",(R74-L74)*K74)</x:f>
      </x:c>
      <x:c r="U74" s="45" t="str">
        <x:f>IF(T74="","",(L74*K74+R74*K74)*'ステップ2_ルール検証'!$B$8)</x:f>
      </x:c>
      <x:c r="V74" s="45" t="str">
        <x:f>IF(T74="","",T74-U74)</x:f>
      </x:c>
      <x:c r="W74" s="45" t="str">
        <x:f>IF(OR(S74="",L74=""),"",MIN(0,(S74-L74)*K74))</x:f>
      </x:c>
      <x:c r="X74" s="42" t="str">
        <x:f>IF(V74="","",IF(V74&gt;0,"勝ち",IF(V74&lt;0,"負け","引分")))</x:f>
      </x:c>
      <x:c r="Y74" s="111"/>
      <x:c r="Z74" s="111"/>
    </x:row>
    <x:row r="75">
      <x:c r="A75" s="111"/>
      <x:c r="B75" s="111"/>
      <x:c r="C75" s="112"/>
      <x:c r="D75" s="111"/>
      <x:c r="E75" s="111"/>
      <x:c r="F75" s="111"/>
      <x:c r="G75" s="111"/>
      <x:c r="H75" s="111"/>
      <x:c r="I75" s="111"/>
      <x:c r="J75" s="112"/>
      <x:c r="K75" s="111"/>
      <x:c r="L75" s="113"/>
      <x:c r="M75" s="113"/>
      <x:c r="N75" s="113"/>
      <x:c r="O75" s="112"/>
      <x:c r="P75" s="113"/>
      <x:c r="Q75" s="113"/>
      <x:c r="R75" s="113"/>
      <x:c r="S75" s="113"/>
      <x:c r="T75" s="45" t="str">
        <x:f>IF(OR(G75&lt;&gt;"選定",L75="",R75=""),"",(R75-L75)*K75)</x:f>
      </x:c>
      <x:c r="U75" s="45" t="str">
        <x:f>IF(T75="","",(L75*K75+R75*K75)*'ステップ2_ルール検証'!$B$8)</x:f>
      </x:c>
      <x:c r="V75" s="45" t="str">
        <x:f>IF(T75="","",T75-U75)</x:f>
      </x:c>
      <x:c r="W75" s="45" t="str">
        <x:f>IF(OR(S75="",L75=""),"",MIN(0,(S75-L75)*K75))</x:f>
      </x:c>
      <x:c r="X75" s="42" t="str">
        <x:f>IF(V75="","",IF(V75&gt;0,"勝ち",IF(V75&lt;0,"負け","引分")))</x:f>
      </x:c>
      <x:c r="Y75" s="111"/>
      <x:c r="Z75" s="111"/>
    </x:row>
    <x:row r="76">
      <x:c r="A76" s="111"/>
      <x:c r="B76" s="111"/>
      <x:c r="C76" s="112"/>
      <x:c r="D76" s="111"/>
      <x:c r="E76" s="111"/>
      <x:c r="F76" s="111"/>
      <x:c r="G76" s="111"/>
      <x:c r="H76" s="111"/>
      <x:c r="I76" s="111"/>
      <x:c r="J76" s="112"/>
      <x:c r="K76" s="111"/>
      <x:c r="L76" s="113"/>
      <x:c r="M76" s="113"/>
      <x:c r="N76" s="113"/>
      <x:c r="O76" s="112"/>
      <x:c r="P76" s="113"/>
      <x:c r="Q76" s="113"/>
      <x:c r="R76" s="113"/>
      <x:c r="S76" s="113"/>
      <x:c r="T76" s="45" t="str">
        <x:f>IF(OR(G76&lt;&gt;"選定",L76="",R76=""),"",(R76-L76)*K76)</x:f>
      </x:c>
      <x:c r="U76" s="45" t="str">
        <x:f>IF(T76="","",(L76*K76+R76*K76)*'ステップ2_ルール検証'!$B$8)</x:f>
      </x:c>
      <x:c r="V76" s="45" t="str">
        <x:f>IF(T76="","",T76-U76)</x:f>
      </x:c>
      <x:c r="W76" s="45" t="str">
        <x:f>IF(OR(S76="",L76=""),"",MIN(0,(S76-L76)*K76))</x:f>
      </x:c>
      <x:c r="X76" s="42" t="str">
        <x:f>IF(V76="","",IF(V76&gt;0,"勝ち",IF(V76&lt;0,"負け","引分")))</x:f>
      </x:c>
      <x:c r="Y76" s="111"/>
      <x:c r="Z76" s="111"/>
    </x:row>
    <x:row r="77">
      <x:c r="A77" s="111"/>
      <x:c r="B77" s="111"/>
      <x:c r="C77" s="112"/>
      <x:c r="D77" s="111"/>
      <x:c r="E77" s="111"/>
      <x:c r="F77" s="111"/>
      <x:c r="G77" s="111"/>
      <x:c r="H77" s="111"/>
      <x:c r="I77" s="111"/>
      <x:c r="J77" s="112"/>
      <x:c r="K77" s="111"/>
      <x:c r="L77" s="113"/>
      <x:c r="M77" s="113"/>
      <x:c r="N77" s="113"/>
      <x:c r="O77" s="112"/>
      <x:c r="P77" s="113"/>
      <x:c r="Q77" s="113"/>
      <x:c r="R77" s="113"/>
      <x:c r="S77" s="113"/>
      <x:c r="T77" s="45" t="str">
        <x:f>IF(OR(G77&lt;&gt;"選定",L77="",R77=""),"",(R77-L77)*K77)</x:f>
      </x:c>
      <x:c r="U77" s="45" t="str">
        <x:f>IF(T77="","",(L77*K77+R77*K77)*'ステップ2_ルール検証'!$B$8)</x:f>
      </x:c>
      <x:c r="V77" s="45" t="str">
        <x:f>IF(T77="","",T77-U77)</x:f>
      </x:c>
      <x:c r="W77" s="45" t="str">
        <x:f>IF(OR(S77="",L77=""),"",MIN(0,(S77-L77)*K77))</x:f>
      </x:c>
      <x:c r="X77" s="42" t="str">
        <x:f>IF(V77="","",IF(V77&gt;0,"勝ち",IF(V77&lt;0,"負け","引分")))</x:f>
      </x:c>
      <x:c r="Y77" s="111"/>
      <x:c r="Z77" s="111"/>
    </x:row>
    <x:row r="78">
      <x:c r="A78" s="111"/>
      <x:c r="B78" s="111"/>
      <x:c r="C78" s="112"/>
      <x:c r="D78" s="111"/>
      <x:c r="E78" s="111"/>
      <x:c r="F78" s="111"/>
      <x:c r="G78" s="111"/>
      <x:c r="H78" s="111"/>
      <x:c r="I78" s="111"/>
      <x:c r="J78" s="112"/>
      <x:c r="K78" s="111"/>
      <x:c r="L78" s="113"/>
      <x:c r="M78" s="113"/>
      <x:c r="N78" s="113"/>
      <x:c r="O78" s="112"/>
      <x:c r="P78" s="113"/>
      <x:c r="Q78" s="113"/>
      <x:c r="R78" s="113"/>
      <x:c r="S78" s="113"/>
      <x:c r="T78" s="45" t="str">
        <x:f>IF(OR(G78&lt;&gt;"選定",L78="",R78=""),"",(R78-L78)*K78)</x:f>
      </x:c>
      <x:c r="U78" s="45" t="str">
        <x:f>IF(T78="","",(L78*K78+R78*K78)*'ステップ2_ルール検証'!$B$8)</x:f>
      </x:c>
      <x:c r="V78" s="45" t="str">
        <x:f>IF(T78="","",T78-U78)</x:f>
      </x:c>
      <x:c r="W78" s="45" t="str">
        <x:f>IF(OR(S78="",L78=""),"",MIN(0,(S78-L78)*K78))</x:f>
      </x:c>
      <x:c r="X78" s="42" t="str">
        <x:f>IF(V78="","",IF(V78&gt;0,"勝ち",IF(V78&lt;0,"負け","引分")))</x:f>
      </x:c>
      <x:c r="Y78" s="111"/>
      <x:c r="Z78" s="111"/>
    </x:row>
    <x:row r="79">
      <x:c r="A79" s="111"/>
      <x:c r="B79" s="111"/>
      <x:c r="C79" s="112"/>
      <x:c r="D79" s="111"/>
      <x:c r="E79" s="111"/>
      <x:c r="F79" s="111"/>
      <x:c r="G79" s="111"/>
      <x:c r="H79" s="111"/>
      <x:c r="I79" s="111"/>
      <x:c r="J79" s="112"/>
      <x:c r="K79" s="111"/>
      <x:c r="L79" s="113"/>
      <x:c r="M79" s="113"/>
      <x:c r="N79" s="113"/>
      <x:c r="O79" s="112"/>
      <x:c r="P79" s="113"/>
      <x:c r="Q79" s="113"/>
      <x:c r="R79" s="113"/>
      <x:c r="S79" s="113"/>
      <x:c r="T79" s="45" t="str">
        <x:f>IF(OR(G79&lt;&gt;"選定",L79="",R79=""),"",(R79-L79)*K79)</x:f>
      </x:c>
      <x:c r="U79" s="45" t="str">
        <x:f>IF(T79="","",(L79*K79+R79*K79)*'ステップ2_ルール検証'!$B$8)</x:f>
      </x:c>
      <x:c r="V79" s="45" t="str">
        <x:f>IF(T79="","",T79-U79)</x:f>
      </x:c>
      <x:c r="W79" s="45" t="str">
        <x:f>IF(OR(S79="",L79=""),"",MIN(0,(S79-L79)*K79))</x:f>
      </x:c>
      <x:c r="X79" s="42" t="str">
        <x:f>IF(V79="","",IF(V79&gt;0,"勝ち",IF(V79&lt;0,"負け","引分")))</x:f>
      </x:c>
      <x:c r="Y79" s="111"/>
      <x:c r="Z79" s="111"/>
    </x:row>
    <x:row r="80">
      <x:c r="A80" s="111"/>
      <x:c r="B80" s="111"/>
      <x:c r="C80" s="112"/>
      <x:c r="D80" s="111"/>
      <x:c r="E80" s="111"/>
      <x:c r="F80" s="111"/>
      <x:c r="G80" s="111"/>
      <x:c r="H80" s="111"/>
      <x:c r="I80" s="111"/>
      <x:c r="J80" s="112"/>
      <x:c r="K80" s="111"/>
      <x:c r="L80" s="113"/>
      <x:c r="M80" s="113"/>
      <x:c r="N80" s="113"/>
      <x:c r="O80" s="112"/>
      <x:c r="P80" s="113"/>
      <x:c r="Q80" s="113"/>
      <x:c r="R80" s="113"/>
      <x:c r="S80" s="113"/>
      <x:c r="T80" s="45" t="str">
        <x:f>IF(OR(G80&lt;&gt;"選定",L80="",R80=""),"",(R80-L80)*K80)</x:f>
      </x:c>
      <x:c r="U80" s="45" t="str">
        <x:f>IF(T80="","",(L80*K80+R80*K80)*'ステップ2_ルール検証'!$B$8)</x:f>
      </x:c>
      <x:c r="V80" s="45" t="str">
        <x:f>IF(T80="","",T80-U80)</x:f>
      </x:c>
      <x:c r="W80" s="45" t="str">
        <x:f>IF(OR(S80="",L80=""),"",MIN(0,(S80-L80)*K80))</x:f>
      </x:c>
      <x:c r="X80" s="42" t="str">
        <x:f>IF(V80="","",IF(V80&gt;0,"勝ち",IF(V80&lt;0,"負け","引分")))</x:f>
      </x:c>
      <x:c r="Y80" s="111"/>
      <x:c r="Z80" s="111"/>
    </x:row>
    <x:row r="81">
      <x:c r="A81" s="111"/>
      <x:c r="B81" s="111"/>
      <x:c r="C81" s="112"/>
      <x:c r="D81" s="111"/>
      <x:c r="E81" s="111"/>
      <x:c r="F81" s="111"/>
      <x:c r="G81" s="111"/>
      <x:c r="H81" s="111"/>
      <x:c r="I81" s="111"/>
      <x:c r="J81" s="112"/>
      <x:c r="K81" s="111"/>
      <x:c r="L81" s="113"/>
      <x:c r="M81" s="113"/>
      <x:c r="N81" s="113"/>
      <x:c r="O81" s="112"/>
      <x:c r="P81" s="113"/>
      <x:c r="Q81" s="113"/>
      <x:c r="R81" s="113"/>
      <x:c r="S81" s="113"/>
      <x:c r="T81" s="45" t="str">
        <x:f>IF(OR(G81&lt;&gt;"選定",L81="",R81=""),"",(R81-L81)*K81)</x:f>
      </x:c>
      <x:c r="U81" s="45" t="str">
        <x:f>IF(T81="","",(L81*K81+R81*K81)*'ステップ2_ルール検証'!$B$8)</x:f>
      </x:c>
      <x:c r="V81" s="45" t="str">
        <x:f>IF(T81="","",T81-U81)</x:f>
      </x:c>
      <x:c r="W81" s="45" t="str">
        <x:f>IF(OR(S81="",L81=""),"",MIN(0,(S81-L81)*K81))</x:f>
      </x:c>
      <x:c r="X81" s="42" t="str">
        <x:f>IF(V81="","",IF(V81&gt;0,"勝ち",IF(V81&lt;0,"負け","引分")))</x:f>
      </x:c>
      <x:c r="Y81" s="111"/>
      <x:c r="Z81" s="111"/>
    </x:row>
    <x:row r="82">
      <x:c r="A82" s="111"/>
      <x:c r="B82" s="111"/>
      <x:c r="C82" s="112"/>
      <x:c r="D82" s="111"/>
      <x:c r="E82" s="111"/>
      <x:c r="F82" s="111"/>
      <x:c r="G82" s="111"/>
      <x:c r="H82" s="111"/>
      <x:c r="I82" s="111"/>
      <x:c r="J82" s="112"/>
      <x:c r="K82" s="111"/>
      <x:c r="L82" s="113"/>
      <x:c r="M82" s="113"/>
      <x:c r="N82" s="113"/>
      <x:c r="O82" s="112"/>
      <x:c r="P82" s="113"/>
      <x:c r="Q82" s="113"/>
      <x:c r="R82" s="113"/>
      <x:c r="S82" s="113"/>
      <x:c r="T82" s="45" t="str">
        <x:f>IF(OR(G82&lt;&gt;"選定",L82="",R82=""),"",(R82-L82)*K82)</x:f>
      </x:c>
      <x:c r="U82" s="45" t="str">
        <x:f>IF(T82="","",(L82*K82+R82*K82)*'ステップ2_ルール検証'!$B$8)</x:f>
      </x:c>
      <x:c r="V82" s="45" t="str">
        <x:f>IF(T82="","",T82-U82)</x:f>
      </x:c>
      <x:c r="W82" s="45" t="str">
        <x:f>IF(OR(S82="",L82=""),"",MIN(0,(S82-L82)*K82))</x:f>
      </x:c>
      <x:c r="X82" s="42" t="str">
        <x:f>IF(V82="","",IF(V82&gt;0,"勝ち",IF(V82&lt;0,"負け","引分")))</x:f>
      </x:c>
      <x:c r="Y82" s="111"/>
      <x:c r="Z82" s="111"/>
    </x:row>
    <x:row r="83">
      <x:c r="A83" s="111"/>
      <x:c r="B83" s="111"/>
      <x:c r="C83" s="112"/>
      <x:c r="D83" s="111"/>
      <x:c r="E83" s="111"/>
      <x:c r="F83" s="111"/>
      <x:c r="G83" s="111"/>
      <x:c r="H83" s="111"/>
      <x:c r="I83" s="111"/>
      <x:c r="J83" s="112"/>
      <x:c r="K83" s="111"/>
      <x:c r="L83" s="113"/>
      <x:c r="M83" s="113"/>
      <x:c r="N83" s="113"/>
      <x:c r="O83" s="112"/>
      <x:c r="P83" s="113"/>
      <x:c r="Q83" s="113"/>
      <x:c r="R83" s="113"/>
      <x:c r="S83" s="113"/>
      <x:c r="T83" s="45" t="str">
        <x:f>IF(OR(G83&lt;&gt;"選定",L83="",R83=""),"",(R83-L83)*K83)</x:f>
      </x:c>
      <x:c r="U83" s="45" t="str">
        <x:f>IF(T83="","",(L83*K83+R83*K83)*'ステップ2_ルール検証'!$B$8)</x:f>
      </x:c>
      <x:c r="V83" s="45" t="str">
        <x:f>IF(T83="","",T83-U83)</x:f>
      </x:c>
      <x:c r="W83" s="45" t="str">
        <x:f>IF(OR(S83="",L83=""),"",MIN(0,(S83-L83)*K83))</x:f>
      </x:c>
      <x:c r="X83" s="42" t="str">
        <x:f>IF(V83="","",IF(V83&gt;0,"勝ち",IF(V83&lt;0,"負け","引分")))</x:f>
      </x:c>
      <x:c r="Y83" s="111"/>
      <x:c r="Z83" s="111"/>
    </x:row>
    <x:row r="84">
      <x:c r="A84" s="111"/>
      <x:c r="B84" s="111"/>
      <x:c r="C84" s="112"/>
      <x:c r="D84" s="111"/>
      <x:c r="E84" s="111"/>
      <x:c r="F84" s="111"/>
      <x:c r="G84" s="111"/>
      <x:c r="H84" s="111"/>
      <x:c r="I84" s="111"/>
      <x:c r="J84" s="112"/>
      <x:c r="K84" s="111"/>
      <x:c r="L84" s="113"/>
      <x:c r="M84" s="113"/>
      <x:c r="N84" s="113"/>
      <x:c r="O84" s="112"/>
      <x:c r="P84" s="113"/>
      <x:c r="Q84" s="113"/>
      <x:c r="R84" s="113"/>
      <x:c r="S84" s="113"/>
      <x:c r="T84" s="45" t="str">
        <x:f>IF(OR(G84&lt;&gt;"選定",L84="",R84=""),"",(R84-L84)*K84)</x:f>
      </x:c>
      <x:c r="U84" s="45" t="str">
        <x:f>IF(T84="","",(L84*K84+R84*K84)*'ステップ2_ルール検証'!$B$8)</x:f>
      </x:c>
      <x:c r="V84" s="45" t="str">
        <x:f>IF(T84="","",T84-U84)</x:f>
      </x:c>
      <x:c r="W84" s="45" t="str">
        <x:f>IF(OR(S84="",L84=""),"",MIN(0,(S84-L84)*K84))</x:f>
      </x:c>
      <x:c r="X84" s="42" t="str">
        <x:f>IF(V84="","",IF(V84&gt;0,"勝ち",IF(V84&lt;0,"負け","引分")))</x:f>
      </x:c>
      <x:c r="Y84" s="111"/>
      <x:c r="Z84" s="111"/>
    </x:row>
    <x:row r="85">
      <x:c r="A85" s="111"/>
      <x:c r="B85" s="111"/>
      <x:c r="C85" s="112"/>
      <x:c r="D85" s="111"/>
      <x:c r="E85" s="111"/>
      <x:c r="F85" s="111"/>
      <x:c r="G85" s="111"/>
      <x:c r="H85" s="111"/>
      <x:c r="I85" s="111"/>
      <x:c r="J85" s="112"/>
      <x:c r="K85" s="111"/>
      <x:c r="L85" s="113"/>
      <x:c r="M85" s="113"/>
      <x:c r="N85" s="113"/>
      <x:c r="O85" s="112"/>
      <x:c r="P85" s="113"/>
      <x:c r="Q85" s="113"/>
      <x:c r="R85" s="113"/>
      <x:c r="S85" s="113"/>
      <x:c r="T85" s="45" t="str">
        <x:f>IF(OR(G85&lt;&gt;"選定",L85="",R85=""),"",(R85-L85)*K85)</x:f>
      </x:c>
      <x:c r="U85" s="45" t="str">
        <x:f>IF(T85="","",(L85*K85+R85*K85)*'ステップ2_ルール検証'!$B$8)</x:f>
      </x:c>
      <x:c r="V85" s="45" t="str">
        <x:f>IF(T85="","",T85-U85)</x:f>
      </x:c>
      <x:c r="W85" s="45" t="str">
        <x:f>IF(OR(S85="",L85=""),"",MIN(0,(S85-L85)*K85))</x:f>
      </x:c>
      <x:c r="X85" s="42" t="str">
        <x:f>IF(V85="","",IF(V85&gt;0,"勝ち",IF(V85&lt;0,"負け","引分")))</x:f>
      </x:c>
      <x:c r="Y85" s="111"/>
      <x:c r="Z85" s="111"/>
    </x:row>
    <x:row r="86">
      <x:c r="A86" s="111"/>
      <x:c r="B86" s="111"/>
      <x:c r="C86" s="112"/>
      <x:c r="D86" s="111"/>
      <x:c r="E86" s="111"/>
      <x:c r="F86" s="111"/>
      <x:c r="G86" s="111"/>
      <x:c r="H86" s="111"/>
      <x:c r="I86" s="111"/>
      <x:c r="J86" s="112"/>
      <x:c r="K86" s="111"/>
      <x:c r="L86" s="113"/>
      <x:c r="M86" s="113"/>
      <x:c r="N86" s="113"/>
      <x:c r="O86" s="112"/>
      <x:c r="P86" s="113"/>
      <x:c r="Q86" s="113"/>
      <x:c r="R86" s="113"/>
      <x:c r="S86" s="113"/>
      <x:c r="T86" s="45" t="str">
        <x:f>IF(OR(G86&lt;&gt;"選定",L86="",R86=""),"",(R86-L86)*K86)</x:f>
      </x:c>
      <x:c r="U86" s="45" t="str">
        <x:f>IF(T86="","",(L86*K86+R86*K86)*'ステップ2_ルール検証'!$B$8)</x:f>
      </x:c>
      <x:c r="V86" s="45" t="str">
        <x:f>IF(T86="","",T86-U86)</x:f>
      </x:c>
      <x:c r="W86" s="45" t="str">
        <x:f>IF(OR(S86="",L86=""),"",MIN(0,(S86-L86)*K86))</x:f>
      </x:c>
      <x:c r="X86" s="42" t="str">
        <x:f>IF(V86="","",IF(V86&gt;0,"勝ち",IF(V86&lt;0,"負け","引分")))</x:f>
      </x:c>
      <x:c r="Y86" s="111"/>
      <x:c r="Z86" s="111"/>
    </x:row>
    <x:row r="87">
      <x:c r="A87" s="111"/>
      <x:c r="B87" s="111"/>
      <x:c r="C87" s="112"/>
      <x:c r="D87" s="111"/>
      <x:c r="E87" s="111"/>
      <x:c r="F87" s="111"/>
      <x:c r="G87" s="111"/>
      <x:c r="H87" s="111"/>
      <x:c r="I87" s="111"/>
      <x:c r="J87" s="112"/>
      <x:c r="K87" s="111"/>
      <x:c r="L87" s="113"/>
      <x:c r="M87" s="113"/>
      <x:c r="N87" s="113"/>
      <x:c r="O87" s="112"/>
      <x:c r="P87" s="113"/>
      <x:c r="Q87" s="113"/>
      <x:c r="R87" s="113"/>
      <x:c r="S87" s="113"/>
      <x:c r="T87" s="45" t="str">
        <x:f>IF(OR(G87&lt;&gt;"選定",L87="",R87=""),"",(R87-L87)*K87)</x:f>
      </x:c>
      <x:c r="U87" s="45" t="str">
        <x:f>IF(T87="","",(L87*K87+R87*K87)*'ステップ2_ルール検証'!$B$8)</x:f>
      </x:c>
      <x:c r="V87" s="45" t="str">
        <x:f>IF(T87="","",T87-U87)</x:f>
      </x:c>
      <x:c r="W87" s="45" t="str">
        <x:f>IF(OR(S87="",L87=""),"",MIN(0,(S87-L87)*K87))</x:f>
      </x:c>
      <x:c r="X87" s="42" t="str">
        <x:f>IF(V87="","",IF(V87&gt;0,"勝ち",IF(V87&lt;0,"負け","引分")))</x:f>
      </x:c>
      <x:c r="Y87" s="111"/>
      <x:c r="Z87" s="111"/>
    </x:row>
    <x:row r="88">
      <x:c r="A88" s="111"/>
      <x:c r="B88" s="111"/>
      <x:c r="C88" s="112"/>
      <x:c r="D88" s="111"/>
      <x:c r="E88" s="111"/>
      <x:c r="F88" s="111"/>
      <x:c r="G88" s="111"/>
      <x:c r="H88" s="111"/>
      <x:c r="I88" s="111"/>
      <x:c r="J88" s="112"/>
      <x:c r="K88" s="111"/>
      <x:c r="L88" s="113"/>
      <x:c r="M88" s="113"/>
      <x:c r="N88" s="113"/>
      <x:c r="O88" s="112"/>
      <x:c r="P88" s="113"/>
      <x:c r="Q88" s="113"/>
      <x:c r="R88" s="113"/>
      <x:c r="S88" s="113"/>
      <x:c r="T88" s="45" t="str">
        <x:f>IF(OR(G88&lt;&gt;"選定",L88="",R88=""),"",(R88-L88)*K88)</x:f>
      </x:c>
      <x:c r="U88" s="45" t="str">
        <x:f>IF(T88="","",(L88*K88+R88*K88)*'ステップ2_ルール検証'!$B$8)</x:f>
      </x:c>
      <x:c r="V88" s="45" t="str">
        <x:f>IF(T88="","",T88-U88)</x:f>
      </x:c>
      <x:c r="W88" s="45" t="str">
        <x:f>IF(OR(S88="",L88=""),"",MIN(0,(S88-L88)*K88))</x:f>
      </x:c>
      <x:c r="X88" s="42" t="str">
        <x:f>IF(V88="","",IF(V88&gt;0,"勝ち",IF(V88&lt;0,"負け","引分")))</x:f>
      </x:c>
      <x:c r="Y88" s="111"/>
      <x:c r="Z88" s="111"/>
    </x:row>
    <x:row r="89">
      <x:c r="A89" s="111"/>
      <x:c r="B89" s="111"/>
      <x:c r="C89" s="112"/>
      <x:c r="D89" s="111"/>
      <x:c r="E89" s="111"/>
      <x:c r="F89" s="111"/>
      <x:c r="G89" s="111"/>
      <x:c r="H89" s="111"/>
      <x:c r="I89" s="111"/>
      <x:c r="J89" s="112"/>
      <x:c r="K89" s="111"/>
      <x:c r="L89" s="113"/>
      <x:c r="M89" s="113"/>
      <x:c r="N89" s="113"/>
      <x:c r="O89" s="112"/>
      <x:c r="P89" s="113"/>
      <x:c r="Q89" s="113"/>
      <x:c r="R89" s="113"/>
      <x:c r="S89" s="113"/>
      <x:c r="T89" s="45" t="str">
        <x:f>IF(OR(G89&lt;&gt;"選定",L89="",R89=""),"",(R89-L89)*K89)</x:f>
      </x:c>
      <x:c r="U89" s="45" t="str">
        <x:f>IF(T89="","",(L89*K89+R89*K89)*'ステップ2_ルール検証'!$B$8)</x:f>
      </x:c>
      <x:c r="V89" s="45" t="str">
        <x:f>IF(T89="","",T89-U89)</x:f>
      </x:c>
      <x:c r="W89" s="45" t="str">
        <x:f>IF(OR(S89="",L89=""),"",MIN(0,(S89-L89)*K89))</x:f>
      </x:c>
      <x:c r="X89" s="42" t="str">
        <x:f>IF(V89="","",IF(V89&gt;0,"勝ち",IF(V89&lt;0,"負け","引分")))</x:f>
      </x:c>
      <x:c r="Y89" s="111"/>
      <x:c r="Z89" s="111"/>
    </x:row>
    <x:row r="90">
      <x:c r="A90" s="111"/>
      <x:c r="B90" s="111"/>
      <x:c r="C90" s="112"/>
      <x:c r="D90" s="111"/>
      <x:c r="E90" s="111"/>
      <x:c r="F90" s="111"/>
      <x:c r="G90" s="111"/>
      <x:c r="H90" s="111"/>
      <x:c r="I90" s="111"/>
      <x:c r="J90" s="112"/>
      <x:c r="K90" s="111"/>
      <x:c r="L90" s="113"/>
      <x:c r="M90" s="113"/>
      <x:c r="N90" s="113"/>
      <x:c r="O90" s="112"/>
      <x:c r="P90" s="113"/>
      <x:c r="Q90" s="113"/>
      <x:c r="R90" s="113"/>
      <x:c r="S90" s="113"/>
      <x:c r="T90" s="45" t="str">
        <x:f>IF(OR(G90&lt;&gt;"選定",L90="",R90=""),"",(R90-L90)*K90)</x:f>
      </x:c>
      <x:c r="U90" s="45" t="str">
        <x:f>IF(T90="","",(L90*K90+R90*K90)*'ステップ2_ルール検証'!$B$8)</x:f>
      </x:c>
      <x:c r="V90" s="45" t="str">
        <x:f>IF(T90="","",T90-U90)</x:f>
      </x:c>
      <x:c r="W90" s="45" t="str">
        <x:f>IF(OR(S90="",L90=""),"",MIN(0,(S90-L90)*K90))</x:f>
      </x:c>
      <x:c r="X90" s="42" t="str">
        <x:f>IF(V90="","",IF(V90&gt;0,"勝ち",IF(V90&lt;0,"負け","引分")))</x:f>
      </x:c>
      <x:c r="Y90" s="111"/>
      <x:c r="Z90" s="111"/>
    </x:row>
    <x:row r="91">
      <x:c r="A91" s="111"/>
      <x:c r="B91" s="111"/>
      <x:c r="C91" s="112"/>
      <x:c r="D91" s="111"/>
      <x:c r="E91" s="111"/>
      <x:c r="F91" s="111"/>
      <x:c r="G91" s="111"/>
      <x:c r="H91" s="111"/>
      <x:c r="I91" s="111"/>
      <x:c r="J91" s="112"/>
      <x:c r="K91" s="111"/>
      <x:c r="L91" s="113"/>
      <x:c r="M91" s="113"/>
      <x:c r="N91" s="113"/>
      <x:c r="O91" s="112"/>
      <x:c r="P91" s="113"/>
      <x:c r="Q91" s="113"/>
      <x:c r="R91" s="113"/>
      <x:c r="S91" s="113"/>
      <x:c r="T91" s="45" t="str">
        <x:f>IF(OR(G91&lt;&gt;"選定",L91="",R91=""),"",(R91-L91)*K91)</x:f>
      </x:c>
      <x:c r="U91" s="45" t="str">
        <x:f>IF(T91="","",(L91*K91+R91*K91)*'ステップ2_ルール検証'!$B$8)</x:f>
      </x:c>
      <x:c r="V91" s="45" t="str">
        <x:f>IF(T91="","",T91-U91)</x:f>
      </x:c>
      <x:c r="W91" s="45" t="str">
        <x:f>IF(OR(S91="",L91=""),"",MIN(0,(S91-L91)*K91))</x:f>
      </x:c>
      <x:c r="X91" s="42" t="str">
        <x:f>IF(V91="","",IF(V91&gt;0,"勝ち",IF(V91&lt;0,"負け","引分")))</x:f>
      </x:c>
      <x:c r="Y91" s="111"/>
      <x:c r="Z91" s="111"/>
    </x:row>
    <x:row r="92">
      <x:c r="A92" s="111"/>
      <x:c r="B92" s="111"/>
      <x:c r="C92" s="112"/>
      <x:c r="D92" s="111"/>
      <x:c r="E92" s="111"/>
      <x:c r="F92" s="111"/>
      <x:c r="G92" s="111"/>
      <x:c r="H92" s="111"/>
      <x:c r="I92" s="111"/>
      <x:c r="J92" s="112"/>
      <x:c r="K92" s="111"/>
      <x:c r="L92" s="113"/>
      <x:c r="M92" s="113"/>
      <x:c r="N92" s="113"/>
      <x:c r="O92" s="112"/>
      <x:c r="P92" s="113"/>
      <x:c r="Q92" s="113"/>
      <x:c r="R92" s="113"/>
      <x:c r="S92" s="113"/>
      <x:c r="T92" s="45" t="str">
        <x:f>IF(OR(G92&lt;&gt;"選定",L92="",R92=""),"",(R92-L92)*K92)</x:f>
      </x:c>
      <x:c r="U92" s="45" t="str">
        <x:f>IF(T92="","",(L92*K92+R92*K92)*'ステップ2_ルール検証'!$B$8)</x:f>
      </x:c>
      <x:c r="V92" s="45" t="str">
        <x:f>IF(T92="","",T92-U92)</x:f>
      </x:c>
      <x:c r="W92" s="45" t="str">
        <x:f>IF(OR(S92="",L92=""),"",MIN(0,(S92-L92)*K92))</x:f>
      </x:c>
      <x:c r="X92" s="42" t="str">
        <x:f>IF(V92="","",IF(V92&gt;0,"勝ち",IF(V92&lt;0,"負け","引分")))</x:f>
      </x:c>
      <x:c r="Y92" s="111"/>
      <x:c r="Z92" s="111"/>
    </x:row>
    <x:row r="93">
      <x:c r="A93" s="111"/>
      <x:c r="B93" s="111"/>
      <x:c r="C93" s="112"/>
      <x:c r="D93" s="111"/>
      <x:c r="E93" s="111"/>
      <x:c r="F93" s="111"/>
      <x:c r="G93" s="111"/>
      <x:c r="H93" s="111"/>
      <x:c r="I93" s="111"/>
      <x:c r="J93" s="112"/>
      <x:c r="K93" s="111"/>
      <x:c r="L93" s="113"/>
      <x:c r="M93" s="113"/>
      <x:c r="N93" s="113"/>
      <x:c r="O93" s="112"/>
      <x:c r="P93" s="113"/>
      <x:c r="Q93" s="113"/>
      <x:c r="R93" s="113"/>
      <x:c r="S93" s="113"/>
      <x:c r="T93" s="45" t="str">
        <x:f>IF(OR(G93&lt;&gt;"選定",L93="",R93=""),"",(R93-L93)*K93)</x:f>
      </x:c>
      <x:c r="U93" s="45" t="str">
        <x:f>IF(T93="","",(L93*K93+R93*K93)*'ステップ2_ルール検証'!$B$8)</x:f>
      </x:c>
      <x:c r="V93" s="45" t="str">
        <x:f>IF(T93="","",T93-U93)</x:f>
      </x:c>
      <x:c r="W93" s="45" t="str">
        <x:f>IF(OR(S93="",L93=""),"",MIN(0,(S93-L93)*K93))</x:f>
      </x:c>
      <x:c r="X93" s="42" t="str">
        <x:f>IF(V93="","",IF(V93&gt;0,"勝ち",IF(V93&lt;0,"負け","引分")))</x:f>
      </x:c>
      <x:c r="Y93" s="111"/>
      <x:c r="Z93" s="111"/>
    </x:row>
    <x:row r="94">
      <x:c r="A94" s="111"/>
      <x:c r="B94" s="111"/>
      <x:c r="C94" s="112"/>
      <x:c r="D94" s="111"/>
      <x:c r="E94" s="111"/>
      <x:c r="F94" s="111"/>
      <x:c r="G94" s="111"/>
      <x:c r="H94" s="111"/>
      <x:c r="I94" s="111"/>
      <x:c r="J94" s="112"/>
      <x:c r="K94" s="111"/>
      <x:c r="L94" s="113"/>
      <x:c r="M94" s="113"/>
      <x:c r="N94" s="113"/>
      <x:c r="O94" s="112"/>
      <x:c r="P94" s="113"/>
      <x:c r="Q94" s="113"/>
      <x:c r="R94" s="113"/>
      <x:c r="S94" s="113"/>
      <x:c r="T94" s="45" t="str">
        <x:f>IF(OR(G94&lt;&gt;"選定",L94="",R94=""),"",(R94-L94)*K94)</x:f>
      </x:c>
      <x:c r="U94" s="45" t="str">
        <x:f>IF(T94="","",(L94*K94+R94*K94)*'ステップ2_ルール検証'!$B$8)</x:f>
      </x:c>
      <x:c r="V94" s="45" t="str">
        <x:f>IF(T94="","",T94-U94)</x:f>
      </x:c>
      <x:c r="W94" s="45" t="str">
        <x:f>IF(OR(S94="",L94=""),"",MIN(0,(S94-L94)*K94))</x:f>
      </x:c>
      <x:c r="X94" s="42" t="str">
        <x:f>IF(V94="","",IF(V94&gt;0,"勝ち",IF(V94&lt;0,"負け","引分")))</x:f>
      </x:c>
      <x:c r="Y94" s="111"/>
      <x:c r="Z94" s="111"/>
    </x:row>
    <x:row r="95">
      <x:c r="A95" s="111"/>
      <x:c r="B95" s="111"/>
      <x:c r="C95" s="112"/>
      <x:c r="D95" s="111"/>
      <x:c r="E95" s="111"/>
      <x:c r="F95" s="111"/>
      <x:c r="G95" s="111"/>
      <x:c r="H95" s="111"/>
      <x:c r="I95" s="111"/>
      <x:c r="J95" s="112"/>
      <x:c r="K95" s="111"/>
      <x:c r="L95" s="113"/>
      <x:c r="M95" s="113"/>
      <x:c r="N95" s="113"/>
      <x:c r="O95" s="112"/>
      <x:c r="P95" s="113"/>
      <x:c r="Q95" s="113"/>
      <x:c r="R95" s="113"/>
      <x:c r="S95" s="113"/>
      <x:c r="T95" s="45" t="str">
        <x:f>IF(OR(G95&lt;&gt;"選定",L95="",R95=""),"",(R95-L95)*K95)</x:f>
      </x:c>
      <x:c r="U95" s="45" t="str">
        <x:f>IF(T95="","",(L95*K95+R95*K95)*'ステップ2_ルール検証'!$B$8)</x:f>
      </x:c>
      <x:c r="V95" s="45" t="str">
        <x:f>IF(T95="","",T95-U95)</x:f>
      </x:c>
      <x:c r="W95" s="45" t="str">
        <x:f>IF(OR(S95="",L95=""),"",MIN(0,(S95-L95)*K95))</x:f>
      </x:c>
      <x:c r="X95" s="42" t="str">
        <x:f>IF(V95="","",IF(V95&gt;0,"勝ち",IF(V95&lt;0,"負け","引分")))</x:f>
      </x:c>
      <x:c r="Y95" s="111"/>
      <x:c r="Z95" s="111"/>
    </x:row>
    <x:row r="96">
      <x:c r="A96" s="111"/>
      <x:c r="B96" s="111"/>
      <x:c r="C96" s="112"/>
      <x:c r="D96" s="111"/>
      <x:c r="E96" s="111"/>
      <x:c r="F96" s="111"/>
      <x:c r="G96" s="111"/>
      <x:c r="H96" s="111"/>
      <x:c r="I96" s="111"/>
      <x:c r="J96" s="112"/>
      <x:c r="K96" s="111"/>
      <x:c r="L96" s="113"/>
      <x:c r="M96" s="113"/>
      <x:c r="N96" s="113"/>
      <x:c r="O96" s="112"/>
      <x:c r="P96" s="113"/>
      <x:c r="Q96" s="113"/>
      <x:c r="R96" s="113"/>
      <x:c r="S96" s="113"/>
      <x:c r="T96" s="45" t="str">
        <x:f>IF(OR(G96&lt;&gt;"選定",L96="",R96=""),"",(R96-L96)*K96)</x:f>
      </x:c>
      <x:c r="U96" s="45" t="str">
        <x:f>IF(T96="","",(L96*K96+R96*K96)*'ステップ2_ルール検証'!$B$8)</x:f>
      </x:c>
      <x:c r="V96" s="45" t="str">
        <x:f>IF(T96="","",T96-U96)</x:f>
      </x:c>
      <x:c r="W96" s="45" t="str">
        <x:f>IF(OR(S96="",L96=""),"",MIN(0,(S96-L96)*K96))</x:f>
      </x:c>
      <x:c r="X96" s="42" t="str">
        <x:f>IF(V96="","",IF(V96&gt;0,"勝ち",IF(V96&lt;0,"負け","引分")))</x:f>
      </x:c>
      <x:c r="Y96" s="111"/>
      <x:c r="Z96" s="111"/>
    </x:row>
    <x:row r="97">
      <x:c r="A97" s="111"/>
      <x:c r="B97" s="111"/>
      <x:c r="C97" s="112"/>
      <x:c r="D97" s="111"/>
      <x:c r="E97" s="111"/>
      <x:c r="F97" s="111"/>
      <x:c r="G97" s="111"/>
      <x:c r="H97" s="111"/>
      <x:c r="I97" s="111"/>
      <x:c r="J97" s="112"/>
      <x:c r="K97" s="111"/>
      <x:c r="L97" s="113"/>
      <x:c r="M97" s="113"/>
      <x:c r="N97" s="113"/>
      <x:c r="O97" s="112"/>
      <x:c r="P97" s="113"/>
      <x:c r="Q97" s="113"/>
      <x:c r="R97" s="113"/>
      <x:c r="S97" s="113"/>
      <x:c r="T97" s="45" t="str">
        <x:f>IF(OR(G97&lt;&gt;"選定",L97="",R97=""),"",(R97-L97)*K97)</x:f>
      </x:c>
      <x:c r="U97" s="45" t="str">
        <x:f>IF(T97="","",(L97*K97+R97*K97)*'ステップ2_ルール検証'!$B$8)</x:f>
      </x:c>
      <x:c r="V97" s="45" t="str">
        <x:f>IF(T97="","",T97-U97)</x:f>
      </x:c>
      <x:c r="W97" s="45" t="str">
        <x:f>IF(OR(S97="",L97=""),"",MIN(0,(S97-L97)*K97))</x:f>
      </x:c>
      <x:c r="X97" s="42" t="str">
        <x:f>IF(V97="","",IF(V97&gt;0,"勝ち",IF(V97&lt;0,"負け","引分")))</x:f>
      </x:c>
      <x:c r="Y97" s="111"/>
      <x:c r="Z97" s="111"/>
    </x:row>
    <x:row r="98">
      <x:c r="A98" s="111"/>
      <x:c r="B98" s="111"/>
      <x:c r="C98" s="112"/>
      <x:c r="D98" s="111"/>
      <x:c r="E98" s="111"/>
      <x:c r="F98" s="111"/>
      <x:c r="G98" s="111"/>
      <x:c r="H98" s="111"/>
      <x:c r="I98" s="111"/>
      <x:c r="J98" s="112"/>
      <x:c r="K98" s="111"/>
      <x:c r="L98" s="113"/>
      <x:c r="M98" s="113"/>
      <x:c r="N98" s="113"/>
      <x:c r="O98" s="112"/>
      <x:c r="P98" s="113"/>
      <x:c r="Q98" s="113"/>
      <x:c r="R98" s="113"/>
      <x:c r="S98" s="113"/>
      <x:c r="T98" s="45" t="str">
        <x:f>IF(OR(G98&lt;&gt;"選定",L98="",R98=""),"",(R98-L98)*K98)</x:f>
      </x:c>
      <x:c r="U98" s="45" t="str">
        <x:f>IF(T98="","",(L98*K98+R98*K98)*'ステップ2_ルール検証'!$B$8)</x:f>
      </x:c>
      <x:c r="V98" s="45" t="str">
        <x:f>IF(T98="","",T98-U98)</x:f>
      </x:c>
      <x:c r="W98" s="45" t="str">
        <x:f>IF(OR(S98="",L98=""),"",MIN(0,(S98-L98)*K98))</x:f>
      </x:c>
      <x:c r="X98" s="42" t="str">
        <x:f>IF(V98="","",IF(V98&gt;0,"勝ち",IF(V98&lt;0,"負け","引分")))</x:f>
      </x:c>
      <x:c r="Y98" s="111"/>
      <x:c r="Z98" s="111"/>
    </x:row>
    <x:row r="99">
      <x:c r="A99" s="111"/>
      <x:c r="B99" s="111"/>
      <x:c r="C99" s="112"/>
      <x:c r="D99" s="111"/>
      <x:c r="E99" s="111"/>
      <x:c r="F99" s="111"/>
      <x:c r="G99" s="111"/>
      <x:c r="H99" s="111"/>
      <x:c r="I99" s="111"/>
      <x:c r="J99" s="112"/>
      <x:c r="K99" s="111"/>
      <x:c r="L99" s="113"/>
      <x:c r="M99" s="113"/>
      <x:c r="N99" s="113"/>
      <x:c r="O99" s="112"/>
      <x:c r="P99" s="113"/>
      <x:c r="Q99" s="113"/>
      <x:c r="R99" s="113"/>
      <x:c r="S99" s="113"/>
      <x:c r="T99" s="45" t="str">
        <x:f>IF(OR(G99&lt;&gt;"選定",L99="",R99=""),"",(R99-L99)*K99)</x:f>
      </x:c>
      <x:c r="U99" s="45" t="str">
        <x:f>IF(T99="","",(L99*K99+R99*K99)*'ステップ2_ルール検証'!$B$8)</x:f>
      </x:c>
      <x:c r="V99" s="45" t="str">
        <x:f>IF(T99="","",T99-U99)</x:f>
      </x:c>
      <x:c r="W99" s="45" t="str">
        <x:f>IF(OR(S99="",L99=""),"",MIN(0,(S99-L99)*K99))</x:f>
      </x:c>
      <x:c r="X99" s="42" t="str">
        <x:f>IF(V99="","",IF(V99&gt;0,"勝ち",IF(V99&lt;0,"負け","引分")))</x:f>
      </x:c>
      <x:c r="Y99" s="111"/>
      <x:c r="Z99" s="111"/>
    </x:row>
    <x:row r="100">
      <x:c r="A100" s="111"/>
      <x:c r="B100" s="111"/>
      <x:c r="C100" s="112"/>
      <x:c r="D100" s="111"/>
      <x:c r="E100" s="111"/>
      <x:c r="F100" s="111"/>
      <x:c r="G100" s="111"/>
      <x:c r="H100" s="111"/>
      <x:c r="I100" s="111"/>
      <x:c r="J100" s="112"/>
      <x:c r="K100" s="111"/>
      <x:c r="L100" s="113"/>
      <x:c r="M100" s="113"/>
      <x:c r="N100" s="113"/>
      <x:c r="O100" s="112"/>
      <x:c r="P100" s="113"/>
      <x:c r="Q100" s="113"/>
      <x:c r="R100" s="113"/>
      <x:c r="S100" s="113"/>
      <x:c r="T100" s="45" t="str">
        <x:f>IF(OR(G100&lt;&gt;"選定",L100="",R100=""),"",(R100-L100)*K100)</x:f>
      </x:c>
      <x:c r="U100" s="45" t="str">
        <x:f>IF(T100="","",(L100*K100+R100*K100)*'ステップ2_ルール検証'!$B$8)</x:f>
      </x:c>
      <x:c r="V100" s="45" t="str">
        <x:f>IF(T100="","",T100-U100)</x:f>
      </x:c>
      <x:c r="W100" s="45" t="str">
        <x:f>IF(OR(S100="",L100=""),"",MIN(0,(S100-L100)*K100))</x:f>
      </x:c>
      <x:c r="X100" s="42" t="str">
        <x:f>IF(V100="","",IF(V100&gt;0,"勝ち",IF(V100&lt;0,"負け","引分")))</x:f>
      </x:c>
      <x:c r="Y100" s="111"/>
      <x:c r="Z100" s="111"/>
    </x:row>
    <x:row r="101">
      <x:c r="A101" s="111"/>
      <x:c r="B101" s="111"/>
      <x:c r="C101" s="112"/>
      <x:c r="D101" s="111"/>
      <x:c r="E101" s="111"/>
      <x:c r="F101" s="111"/>
      <x:c r="G101" s="111"/>
      <x:c r="H101" s="111"/>
      <x:c r="I101" s="111"/>
      <x:c r="J101" s="112"/>
      <x:c r="K101" s="111"/>
      <x:c r="L101" s="113"/>
      <x:c r="M101" s="113"/>
      <x:c r="N101" s="113"/>
      <x:c r="O101" s="112"/>
      <x:c r="P101" s="113"/>
      <x:c r="Q101" s="113"/>
      <x:c r="R101" s="113"/>
      <x:c r="S101" s="113"/>
      <x:c r="T101" s="45" t="str">
        <x:f>IF(OR(G101&lt;&gt;"選定",L101="",R101=""),"",(R101-L101)*K101)</x:f>
      </x:c>
      <x:c r="U101" s="45" t="str">
        <x:f>IF(T101="","",(L101*K101+R101*K101)*'ステップ2_ルール検証'!$B$8)</x:f>
      </x:c>
      <x:c r="V101" s="45" t="str">
        <x:f>IF(T101="","",T101-U101)</x:f>
      </x:c>
      <x:c r="W101" s="45" t="str">
        <x:f>IF(OR(S101="",L101=""),"",MIN(0,(S101-L101)*K101))</x:f>
      </x:c>
      <x:c r="X101" s="42" t="str">
        <x:f>IF(V101="","",IF(V101&gt;0,"勝ち",IF(V101&lt;0,"負け","引分")))</x:f>
      </x:c>
      <x:c r="Y101" s="111"/>
      <x:c r="Z101" s="111"/>
    </x:row>
    <x:row r="102">
      <x:c r="A102" s="111"/>
      <x:c r="B102" s="111"/>
      <x:c r="C102" s="112"/>
      <x:c r="D102" s="111"/>
      <x:c r="E102" s="111"/>
      <x:c r="F102" s="111"/>
      <x:c r="G102" s="111"/>
      <x:c r="H102" s="111"/>
      <x:c r="I102" s="111"/>
      <x:c r="J102" s="112"/>
      <x:c r="K102" s="111"/>
      <x:c r="L102" s="113"/>
      <x:c r="M102" s="113"/>
      <x:c r="N102" s="113"/>
      <x:c r="O102" s="112"/>
      <x:c r="P102" s="113"/>
      <x:c r="Q102" s="113"/>
      <x:c r="R102" s="113"/>
      <x:c r="S102" s="113"/>
      <x:c r="T102" s="45" t="str">
        <x:f>IF(OR(G102&lt;&gt;"選定",L102="",R102=""),"",(R102-L102)*K102)</x:f>
      </x:c>
      <x:c r="U102" s="45" t="str">
        <x:f>IF(T102="","",(L102*K102+R102*K102)*'ステップ2_ルール検証'!$B$8)</x:f>
      </x:c>
      <x:c r="V102" s="45" t="str">
        <x:f>IF(T102="","",T102-U102)</x:f>
      </x:c>
      <x:c r="W102" s="45" t="str">
        <x:f>IF(OR(S102="",L102=""),"",MIN(0,(S102-L102)*K102))</x:f>
      </x:c>
      <x:c r="X102" s="42" t="str">
        <x:f>IF(V102="","",IF(V102&gt;0,"勝ち",IF(V102&lt;0,"負け","引分")))</x:f>
      </x:c>
      <x:c r="Y102" s="111"/>
      <x:c r="Z102" s="111"/>
    </x:row>
    <x:row r="103">
      <x:c r="A103" s="111"/>
      <x:c r="B103" s="111"/>
      <x:c r="C103" s="112"/>
      <x:c r="D103" s="111"/>
      <x:c r="E103" s="111"/>
      <x:c r="F103" s="111"/>
      <x:c r="G103" s="111"/>
      <x:c r="H103" s="111"/>
      <x:c r="I103" s="111"/>
      <x:c r="J103" s="112"/>
      <x:c r="K103" s="111"/>
      <x:c r="L103" s="113"/>
      <x:c r="M103" s="113"/>
      <x:c r="N103" s="113"/>
      <x:c r="O103" s="112"/>
      <x:c r="P103" s="113"/>
      <x:c r="Q103" s="113"/>
      <x:c r="R103" s="113"/>
      <x:c r="S103" s="113"/>
      <x:c r="T103" s="45" t="str">
        <x:f>IF(OR(G103&lt;&gt;"選定",L103="",R103=""),"",(R103-L103)*K103)</x:f>
      </x:c>
      <x:c r="U103" s="45" t="str">
        <x:f>IF(T103="","",(L103*K103+R103*K103)*'ステップ2_ルール検証'!$B$8)</x:f>
      </x:c>
      <x:c r="V103" s="45" t="str">
        <x:f>IF(T103="","",T103-U103)</x:f>
      </x:c>
      <x:c r="W103" s="45" t="str">
        <x:f>IF(OR(S103="",L103=""),"",MIN(0,(S103-L103)*K103))</x:f>
      </x:c>
      <x:c r="X103" s="42" t="str">
        <x:f>IF(V103="","",IF(V103&gt;0,"勝ち",IF(V103&lt;0,"負け","引分")))</x:f>
      </x:c>
      <x:c r="Y103" s="111"/>
      <x:c r="Z103" s="111"/>
    </x:row>
    <x:row r="104">
      <x:c r="A104" s="111"/>
      <x:c r="B104" s="111"/>
      <x:c r="C104" s="112"/>
      <x:c r="D104" s="111"/>
      <x:c r="E104" s="111"/>
      <x:c r="F104" s="111"/>
      <x:c r="G104" s="111"/>
      <x:c r="H104" s="111"/>
      <x:c r="I104" s="111"/>
      <x:c r="J104" s="112"/>
      <x:c r="K104" s="111"/>
      <x:c r="L104" s="113"/>
      <x:c r="M104" s="113"/>
      <x:c r="N104" s="113"/>
      <x:c r="O104" s="112"/>
      <x:c r="P104" s="113"/>
      <x:c r="Q104" s="113"/>
      <x:c r="R104" s="113"/>
      <x:c r="S104" s="113"/>
      <x:c r="T104" s="45" t="str">
        <x:f>IF(OR(G104&lt;&gt;"選定",L104="",R104=""),"",(R104-L104)*K104)</x:f>
      </x:c>
      <x:c r="U104" s="45" t="str">
        <x:f>IF(T104="","",(L104*K104+R104*K104)*'ステップ2_ルール検証'!$B$8)</x:f>
      </x:c>
      <x:c r="V104" s="45" t="str">
        <x:f>IF(T104="","",T104-U104)</x:f>
      </x:c>
      <x:c r="W104" s="45" t="str">
        <x:f>IF(OR(S104="",L104=""),"",MIN(0,(S104-L104)*K104))</x:f>
      </x:c>
      <x:c r="X104" s="42" t="str">
        <x:f>IF(V104="","",IF(V104&gt;0,"勝ち",IF(V104&lt;0,"負け","引分")))</x:f>
      </x:c>
      <x:c r="Y104" s="111"/>
      <x:c r="Z104" s="111"/>
    </x:row>
  </x:sheetData>
  <x:mergeCells>
    <x:mergeCell ref="A1:Z1"/>
    <x:mergeCell ref="A2:Z2"/>
  </x:mergeCells>
  <x:dataValidations count="2">
    <x:dataValidation type="list" sqref="B5:B104">
      <x:formula1>"v1"</x:formula1>
    </x:dataValidation>
    <x:dataValidation type="list" sqref="G5:G104">
      <x:formula1>"選定,選外"</x:formula1>
    </x:dataValidation>
  </x:dataValidations>
  <x:pageMargins left="0.7" right="0.7" top="0.75" bottom="0.75" header="0.3" footer="0.3"/>
</x:worksheet>
</file>

<file path=xl/worksheets/sheet1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2" hidden="0" customWidth="1"/>
    <x:col min="2" max="2" width="14" hidden="0" customWidth="1"/>
    <x:col min="3" max="3" width="14" hidden="0" customWidth="1"/>
    <x:col min="4" max="4" width="14" hidden="0" customWidth="1"/>
    <x:col min="5" max="5" width="12" hidden="0" customWidth="1"/>
    <x:col min="6" max="6" width="14" hidden="0" customWidth="1"/>
    <x:col min="7" max="7" width="14" hidden="0" customWidth="1"/>
    <x:col min="8" max="8" width="14" hidden="0" customWidth="1"/>
    <x:col min="9" max="9" width="14" hidden="0" customWidth="1"/>
    <x:col min="10" max="10" width="11" hidden="0" customWidth="1"/>
    <x:col min="11" max="11" width="18" hidden="0" customWidth="1"/>
    <x:col min="12" max="12" width="34" hidden="0" customWidth="1"/>
    <x:col min="13" max="13" width="22" hidden="0" customWidth="1"/>
    <x:col min="14" max="14" width="32" hidden="0" customWidth="1"/>
  </x:cols>
  <x:sheetData>
    <x:row r="1" ht="26" customHeight="1">
      <x:c r="A1" s="97" t="str">
        <x:v>実運用比較_v1（空き資金の再投入あり・出口ルール比較と別建て）</x:v>
      </x:c>
      <x:c r="B1" s="97" t="str">
        <x:v>実運用比較_v1（空き資金の再投入あり・出口ルール比較と別建て）</x:v>
      </x:c>
      <x:c r="C1" s="97" t="str">
        <x:v>実運用比較_v1（空き資金の再投入あり・出口ルール比較と別建て）</x:v>
      </x:c>
      <x:c r="D1" s="97" t="str">
        <x:v>実運用比較_v1（空き資金の再投入あり・出口ルール比較と別建て）</x:v>
      </x:c>
      <x:c r="E1" s="97" t="str">
        <x:v>実運用比較_v1（空き資金の再投入あり・出口ルール比較と別建て）</x:v>
      </x:c>
      <x:c r="F1" s="97" t="str">
        <x:v>実運用比較_v1（空き資金の再投入あり・出口ルール比較と別建て）</x:v>
      </x:c>
      <x:c r="G1" s="97" t="str">
        <x:v>実運用比較_v1（空き資金の再投入あり・出口ルール比較と別建て）</x:v>
      </x:c>
      <x:c r="H1" s="97" t="str">
        <x:v>実運用比較_v1（空き資金の再投入あり・出口ルール比較と別建て）</x:v>
      </x:c>
      <x:c r="I1" s="97" t="str">
        <x:v>実運用比較_v1（空き資金の再投入あり・出口ルール比較と別建て）</x:v>
      </x:c>
      <x:c r="J1" s="97" t="str">
        <x:v>実運用比較_v1（空き資金の再投入あり・出口ルール比較と別建て）</x:v>
      </x:c>
      <x:c r="K1" s="97" t="str">
        <x:v>実運用比較_v1（空き資金の再投入あり・出口ルール比較と別建て）</x:v>
      </x:c>
      <x:c r="L1" s="97" t="str">
        <x:v>実運用比較_v1（空き資金の再投入あり・出口ルール比較と別建て）</x:v>
      </x:c>
      <x:c r="M1" s="97" t="str">
        <x:v>実運用比較_v1（空き資金の再投入あり・出口ルール比較と別建て）</x:v>
      </x:c>
      <x:c r="N1" s="97" t="str">
        <x:v>実運用比較_v1（空き資金の再投入あり・出口ルール比較と別建て）</x:v>
      </x:c>
    </x:row>
    <x:row r="2">
      <x:c r="A2" t="str">
        <x:v>このシートは実運用の資金推移用。出口ルール単体A/B/Cと混合集計しない。青字=入力。</x:v>
      </x:c>
    </x:row>
    <x:row r="4">
      <x:c r="A4" s="107" t="str">
        <x:v>日付</x:v>
      </x:c>
      <x:c r="B4" s="107" t="str">
        <x:v>期首現金</x:v>
      </x:c>
      <x:c r="C4" s="107" t="str">
        <x:v>新規投入</x:v>
      </x:c>
      <x:c r="D4" s="107" t="str">
        <x:v>売却回収</x:v>
      </x:c>
      <x:c r="E4" s="107" t="str">
        <x:v>コスト</x:v>
      </x:c>
      <x:c r="F4" s="107" t="str">
        <x:v>期末現金</x:v>
      </x:c>
      <x:c r="G4" s="107" t="str">
        <x:v>保有時価</x:v>
      </x:c>
      <x:c r="H4" s="107" t="str">
        <x:v>総資産</x:v>
      </x:c>
      <x:c r="I4" s="107" t="str">
        <x:v>ピーク</x:v>
      </x:c>
      <x:c r="J4" s="107" t="str">
        <x:v>DD</x:v>
      </x:c>
      <x:c r="K4" s="107" t="str">
        <x:v>再投入銘柄</x:v>
      </x:c>
      <x:c r="L4" s="107" t="str">
        <x:v>選定理由</x:v>
      </x:c>
      <x:c r="M4" s="107" t="str">
        <x:v>同日/同テーマ群</x:v>
      </x:c>
      <x:c r="N4" s="107" t="str">
        <x:v>備考</x:v>
      </x:c>
    </x:row>
    <x:row r="5">
      <x:c r="A5" s="112"/>
      <x:c r="B5" s="115"/>
      <x:c r="C5" s="115"/>
      <x:c r="D5" s="115"/>
      <x:c r="E5" s="115"/>
      <x:c r="F5" s="45" t="str">
        <x:f>IF(A5="","",B5-C5+D5-E5)</x:f>
      </x:c>
      <x:c r="G5" s="115"/>
      <x:c r="H5" s="45" t="str">
        <x:f>IF(A5="","",F5+G5)</x:f>
      </x:c>
      <x:c r="I5" s="45" t="str">
        <x:f>IF(H5="","",MAX($H$5:H5))</x:f>
      </x:c>
      <x:c r="J5" s="49" t="str">
        <x:f>IF(H5="","",H5/I5-1)</x:f>
      </x:c>
      <x:c r="K5" s="111"/>
      <x:c r="L5" s="111"/>
      <x:c r="M5" s="111"/>
      <x:c r="N5" s="111"/>
    </x:row>
    <x:row r="6">
      <x:c r="A6" s="112"/>
      <x:c r="B6" s="115"/>
      <x:c r="C6" s="115"/>
      <x:c r="D6" s="115"/>
      <x:c r="E6" s="115"/>
      <x:c r="F6" s="45" t="str">
        <x:f>IF(A6="","",B6-C6+D6-E6)</x:f>
      </x:c>
      <x:c r="G6" s="115"/>
      <x:c r="H6" s="45" t="str">
        <x:f>IF(A6="","",F6+G6)</x:f>
      </x:c>
      <x:c r="I6" s="45" t="str">
        <x:f>IF(H6="","",MAX($H$5:H6))</x:f>
      </x:c>
      <x:c r="J6" s="49" t="str">
        <x:f>IF(H6="","",H6/I6-1)</x:f>
      </x:c>
      <x:c r="K6" s="111"/>
      <x:c r="L6" s="111"/>
      <x:c r="M6" s="111"/>
      <x:c r="N6" s="111"/>
    </x:row>
    <x:row r="7">
      <x:c r="A7" s="112"/>
      <x:c r="B7" s="115"/>
      <x:c r="C7" s="115"/>
      <x:c r="D7" s="115"/>
      <x:c r="E7" s="115"/>
      <x:c r="F7" s="45" t="str">
        <x:f>IF(A7="","",B7-C7+D7-E7)</x:f>
      </x:c>
      <x:c r="G7" s="115"/>
      <x:c r="H7" s="45" t="str">
        <x:f>IF(A7="","",F7+G7)</x:f>
      </x:c>
      <x:c r="I7" s="45" t="str">
        <x:f>IF(H7="","",MAX($H$5:H7))</x:f>
      </x:c>
      <x:c r="J7" s="49" t="str">
        <x:f>IF(H7="","",H7/I7-1)</x:f>
      </x:c>
      <x:c r="K7" s="111"/>
      <x:c r="L7" s="111"/>
      <x:c r="M7" s="111"/>
      <x:c r="N7" s="111"/>
    </x:row>
    <x:row r="8">
      <x:c r="A8" s="112"/>
      <x:c r="B8" s="115"/>
      <x:c r="C8" s="115"/>
      <x:c r="D8" s="115"/>
      <x:c r="E8" s="115"/>
      <x:c r="F8" s="45" t="str">
        <x:f>IF(A8="","",B8-C8+D8-E8)</x:f>
      </x:c>
      <x:c r="G8" s="115"/>
      <x:c r="H8" s="45" t="str">
        <x:f>IF(A8="","",F8+G8)</x:f>
      </x:c>
      <x:c r="I8" s="45" t="str">
        <x:f>IF(H8="","",MAX($H$5:H8))</x:f>
      </x:c>
      <x:c r="J8" s="49" t="str">
        <x:f>IF(H8="","",H8/I8-1)</x:f>
      </x:c>
      <x:c r="K8" s="111"/>
      <x:c r="L8" s="111"/>
      <x:c r="M8" s="111"/>
      <x:c r="N8" s="111"/>
    </x:row>
    <x:row r="9">
      <x:c r="A9" s="112"/>
      <x:c r="B9" s="115"/>
      <x:c r="C9" s="115"/>
      <x:c r="D9" s="115"/>
      <x:c r="E9" s="115"/>
      <x:c r="F9" s="45" t="str">
        <x:f>IF(A9="","",B9-C9+D9-E9)</x:f>
      </x:c>
      <x:c r="G9" s="115"/>
      <x:c r="H9" s="45" t="str">
        <x:f>IF(A9="","",F9+G9)</x:f>
      </x:c>
      <x:c r="I9" s="45" t="str">
        <x:f>IF(H9="","",MAX($H$5:H9))</x:f>
      </x:c>
      <x:c r="J9" s="49" t="str">
        <x:f>IF(H9="","",H9/I9-1)</x:f>
      </x:c>
      <x:c r="K9" s="111"/>
      <x:c r="L9" s="111"/>
      <x:c r="M9" s="111"/>
      <x:c r="N9" s="111"/>
    </x:row>
    <x:row r="10">
      <x:c r="A10" s="112"/>
      <x:c r="B10" s="115"/>
      <x:c r="C10" s="115"/>
      <x:c r="D10" s="115"/>
      <x:c r="E10" s="115"/>
      <x:c r="F10" s="45" t="str">
        <x:f>IF(A10="","",B10-C10+D10-E10)</x:f>
      </x:c>
      <x:c r="G10" s="115"/>
      <x:c r="H10" s="45" t="str">
        <x:f>IF(A10="","",F10+G10)</x:f>
      </x:c>
      <x:c r="I10" s="45" t="str">
        <x:f>IF(H10="","",MAX($H$5:H10))</x:f>
      </x:c>
      <x:c r="J10" s="49" t="str">
        <x:f>IF(H10="","",H10/I10-1)</x:f>
      </x:c>
      <x:c r="K10" s="111"/>
      <x:c r="L10" s="111"/>
      <x:c r="M10" s="111"/>
      <x:c r="N10" s="111"/>
    </x:row>
    <x:row r="11">
      <x:c r="A11" s="112"/>
      <x:c r="B11" s="115"/>
      <x:c r="C11" s="115"/>
      <x:c r="D11" s="115"/>
      <x:c r="E11" s="115"/>
      <x:c r="F11" s="45" t="str">
        <x:f>IF(A11="","",B11-C11+D11-E11)</x:f>
      </x:c>
      <x:c r="G11" s="115"/>
      <x:c r="H11" s="45" t="str">
        <x:f>IF(A11="","",F11+G11)</x:f>
      </x:c>
      <x:c r="I11" s="45" t="str">
        <x:f>IF(H11="","",MAX($H$5:H11))</x:f>
      </x:c>
      <x:c r="J11" s="49" t="str">
        <x:f>IF(H11="","",H11/I11-1)</x:f>
      </x:c>
      <x:c r="K11" s="111"/>
      <x:c r="L11" s="111"/>
      <x:c r="M11" s="111"/>
      <x:c r="N11" s="111"/>
    </x:row>
    <x:row r="12">
      <x:c r="A12" s="112"/>
      <x:c r="B12" s="115"/>
      <x:c r="C12" s="115"/>
      <x:c r="D12" s="115"/>
      <x:c r="E12" s="115"/>
      <x:c r="F12" s="45" t="str">
        <x:f>IF(A12="","",B12-C12+D12-E12)</x:f>
      </x:c>
      <x:c r="G12" s="115"/>
      <x:c r="H12" s="45" t="str">
        <x:f>IF(A12="","",F12+G12)</x:f>
      </x:c>
      <x:c r="I12" s="45" t="str">
        <x:f>IF(H12="","",MAX($H$5:H12))</x:f>
      </x:c>
      <x:c r="J12" s="49" t="str">
        <x:f>IF(H12="","",H12/I12-1)</x:f>
      </x:c>
      <x:c r="K12" s="111"/>
      <x:c r="L12" s="111"/>
      <x:c r="M12" s="111"/>
      <x:c r="N12" s="111"/>
    </x:row>
    <x:row r="13">
      <x:c r="A13" s="112"/>
      <x:c r="B13" s="115"/>
      <x:c r="C13" s="115"/>
      <x:c r="D13" s="115"/>
      <x:c r="E13" s="115"/>
      <x:c r="F13" s="45" t="str">
        <x:f>IF(A13="","",B13-C13+D13-E13)</x:f>
      </x:c>
      <x:c r="G13" s="115"/>
      <x:c r="H13" s="45" t="str">
        <x:f>IF(A13="","",F13+G13)</x:f>
      </x:c>
      <x:c r="I13" s="45" t="str">
        <x:f>IF(H13="","",MAX($H$5:H13))</x:f>
      </x:c>
      <x:c r="J13" s="49" t="str">
        <x:f>IF(H13="","",H13/I13-1)</x:f>
      </x:c>
      <x:c r="K13" s="111"/>
      <x:c r="L13" s="111"/>
      <x:c r="M13" s="111"/>
      <x:c r="N13" s="111"/>
    </x:row>
    <x:row r="14">
      <x:c r="A14" s="112"/>
      <x:c r="B14" s="115"/>
      <x:c r="C14" s="115"/>
      <x:c r="D14" s="115"/>
      <x:c r="E14" s="115"/>
      <x:c r="F14" s="45" t="str">
        <x:f>IF(A14="","",B14-C14+D14-E14)</x:f>
      </x:c>
      <x:c r="G14" s="115"/>
      <x:c r="H14" s="45" t="str">
        <x:f>IF(A14="","",F14+G14)</x:f>
      </x:c>
      <x:c r="I14" s="45" t="str">
        <x:f>IF(H14="","",MAX($H$5:H14))</x:f>
      </x:c>
      <x:c r="J14" s="49" t="str">
        <x:f>IF(H14="","",H14/I14-1)</x:f>
      </x:c>
      <x:c r="K14" s="111"/>
      <x:c r="L14" s="111"/>
      <x:c r="M14" s="111"/>
      <x:c r="N14" s="111"/>
    </x:row>
    <x:row r="15">
      <x:c r="A15" s="112"/>
      <x:c r="B15" s="115"/>
      <x:c r="C15" s="115"/>
      <x:c r="D15" s="115"/>
      <x:c r="E15" s="115"/>
      <x:c r="F15" s="45" t="str">
        <x:f>IF(A15="","",B15-C15+D15-E15)</x:f>
      </x:c>
      <x:c r="G15" s="115"/>
      <x:c r="H15" s="45" t="str">
        <x:f>IF(A15="","",F15+G15)</x:f>
      </x:c>
      <x:c r="I15" s="45" t="str">
        <x:f>IF(H15="","",MAX($H$5:H15))</x:f>
      </x:c>
      <x:c r="J15" s="49" t="str">
        <x:f>IF(H15="","",H15/I15-1)</x:f>
      </x:c>
      <x:c r="K15" s="111"/>
      <x:c r="L15" s="111"/>
      <x:c r="M15" s="111"/>
      <x:c r="N15" s="111"/>
    </x:row>
    <x:row r="16">
      <x:c r="A16" s="112"/>
      <x:c r="B16" s="115"/>
      <x:c r="C16" s="115"/>
      <x:c r="D16" s="115"/>
      <x:c r="E16" s="115"/>
      <x:c r="F16" s="45" t="str">
        <x:f>IF(A16="","",B16-C16+D16-E16)</x:f>
      </x:c>
      <x:c r="G16" s="115"/>
      <x:c r="H16" s="45" t="str">
        <x:f>IF(A16="","",F16+G16)</x:f>
      </x:c>
      <x:c r="I16" s="45" t="str">
        <x:f>IF(H16="","",MAX($H$5:H16))</x:f>
      </x:c>
      <x:c r="J16" s="49" t="str">
        <x:f>IF(H16="","",H16/I16-1)</x:f>
      </x:c>
      <x:c r="K16" s="111"/>
      <x:c r="L16" s="111"/>
      <x:c r="M16" s="111"/>
      <x:c r="N16" s="111"/>
    </x:row>
    <x:row r="17">
      <x:c r="A17" s="112"/>
      <x:c r="B17" s="115"/>
      <x:c r="C17" s="115"/>
      <x:c r="D17" s="115"/>
      <x:c r="E17" s="115"/>
      <x:c r="F17" s="45" t="str">
        <x:f>IF(A17="","",B17-C17+D17-E17)</x:f>
      </x:c>
      <x:c r="G17" s="115"/>
      <x:c r="H17" s="45" t="str">
        <x:f>IF(A17="","",F17+G17)</x:f>
      </x:c>
      <x:c r="I17" s="45" t="str">
        <x:f>IF(H17="","",MAX($H$5:H17))</x:f>
      </x:c>
      <x:c r="J17" s="49" t="str">
        <x:f>IF(H17="","",H17/I17-1)</x:f>
      </x:c>
      <x:c r="K17" s="111"/>
      <x:c r="L17" s="111"/>
      <x:c r="M17" s="111"/>
      <x:c r="N17" s="111"/>
    </x:row>
    <x:row r="18">
      <x:c r="A18" s="112"/>
      <x:c r="B18" s="115"/>
      <x:c r="C18" s="115"/>
      <x:c r="D18" s="115"/>
      <x:c r="E18" s="115"/>
      <x:c r="F18" s="45" t="str">
        <x:f>IF(A18="","",B18-C18+D18-E18)</x:f>
      </x:c>
      <x:c r="G18" s="115"/>
      <x:c r="H18" s="45" t="str">
        <x:f>IF(A18="","",F18+G18)</x:f>
      </x:c>
      <x:c r="I18" s="45" t="str">
        <x:f>IF(H18="","",MAX($H$5:H18))</x:f>
      </x:c>
      <x:c r="J18" s="49" t="str">
        <x:f>IF(H18="","",H18/I18-1)</x:f>
      </x:c>
      <x:c r="K18" s="111"/>
      <x:c r="L18" s="111"/>
      <x:c r="M18" s="111"/>
      <x:c r="N18" s="111"/>
    </x:row>
    <x:row r="19">
      <x:c r="A19" s="112"/>
      <x:c r="B19" s="115"/>
      <x:c r="C19" s="115"/>
      <x:c r="D19" s="115"/>
      <x:c r="E19" s="115"/>
      <x:c r="F19" s="45" t="str">
        <x:f>IF(A19="","",B19-C19+D19-E19)</x:f>
      </x:c>
      <x:c r="G19" s="115"/>
      <x:c r="H19" s="45" t="str">
        <x:f>IF(A19="","",F19+G19)</x:f>
      </x:c>
      <x:c r="I19" s="45" t="str">
        <x:f>IF(H19="","",MAX($H$5:H19))</x:f>
      </x:c>
      <x:c r="J19" s="49" t="str">
        <x:f>IF(H19="","",H19/I19-1)</x:f>
      </x:c>
      <x:c r="K19" s="111"/>
      <x:c r="L19" s="111"/>
      <x:c r="M19" s="111"/>
      <x:c r="N19" s="111"/>
    </x:row>
    <x:row r="20">
      <x:c r="A20" s="112"/>
      <x:c r="B20" s="115"/>
      <x:c r="C20" s="115"/>
      <x:c r="D20" s="115"/>
      <x:c r="E20" s="115"/>
      <x:c r="F20" s="45" t="str">
        <x:f>IF(A20="","",B20-C20+D20-E20)</x:f>
      </x:c>
      <x:c r="G20" s="115"/>
      <x:c r="H20" s="45" t="str">
        <x:f>IF(A20="","",F20+G20)</x:f>
      </x:c>
      <x:c r="I20" s="45" t="str">
        <x:f>IF(H20="","",MAX($H$5:H20))</x:f>
      </x:c>
      <x:c r="J20" s="49" t="str">
        <x:f>IF(H20="","",H20/I20-1)</x:f>
      </x:c>
      <x:c r="K20" s="111"/>
      <x:c r="L20" s="111"/>
      <x:c r="M20" s="111"/>
      <x:c r="N20" s="111"/>
    </x:row>
    <x:row r="21">
      <x:c r="A21" s="112"/>
      <x:c r="B21" s="115"/>
      <x:c r="C21" s="115"/>
      <x:c r="D21" s="115"/>
      <x:c r="E21" s="115"/>
      <x:c r="F21" s="45" t="str">
        <x:f>IF(A21="","",B21-C21+D21-E21)</x:f>
      </x:c>
      <x:c r="G21" s="115"/>
      <x:c r="H21" s="45" t="str">
        <x:f>IF(A21="","",F21+G21)</x:f>
      </x:c>
      <x:c r="I21" s="45" t="str">
        <x:f>IF(H21="","",MAX($H$5:H21))</x:f>
      </x:c>
      <x:c r="J21" s="49" t="str">
        <x:f>IF(H21="","",H21/I21-1)</x:f>
      </x:c>
      <x:c r="K21" s="111"/>
      <x:c r="L21" s="111"/>
      <x:c r="M21" s="111"/>
      <x:c r="N21" s="111"/>
    </x:row>
    <x:row r="22">
      <x:c r="A22" s="112"/>
      <x:c r="B22" s="115"/>
      <x:c r="C22" s="115"/>
      <x:c r="D22" s="115"/>
      <x:c r="E22" s="115"/>
      <x:c r="F22" s="45" t="str">
        <x:f>IF(A22="","",B22-C22+D22-E22)</x:f>
      </x:c>
      <x:c r="G22" s="115"/>
      <x:c r="H22" s="45" t="str">
        <x:f>IF(A22="","",F22+G22)</x:f>
      </x:c>
      <x:c r="I22" s="45" t="str">
        <x:f>IF(H22="","",MAX($H$5:H22))</x:f>
      </x:c>
      <x:c r="J22" s="49" t="str">
        <x:f>IF(H22="","",H22/I22-1)</x:f>
      </x:c>
      <x:c r="K22" s="111"/>
      <x:c r="L22" s="111"/>
      <x:c r="M22" s="111"/>
      <x:c r="N22" s="111"/>
    </x:row>
    <x:row r="23">
      <x:c r="A23" s="112"/>
      <x:c r="B23" s="115"/>
      <x:c r="C23" s="115"/>
      <x:c r="D23" s="115"/>
      <x:c r="E23" s="115"/>
      <x:c r="F23" s="45" t="str">
        <x:f>IF(A23="","",B23-C23+D23-E23)</x:f>
      </x:c>
      <x:c r="G23" s="115"/>
      <x:c r="H23" s="45" t="str">
        <x:f>IF(A23="","",F23+G23)</x:f>
      </x:c>
      <x:c r="I23" s="45" t="str">
        <x:f>IF(H23="","",MAX($H$5:H23))</x:f>
      </x:c>
      <x:c r="J23" s="49" t="str">
        <x:f>IF(H23="","",H23/I23-1)</x:f>
      </x:c>
      <x:c r="K23" s="111"/>
      <x:c r="L23" s="111"/>
      <x:c r="M23" s="111"/>
      <x:c r="N23" s="111"/>
    </x:row>
    <x:row r="24">
      <x:c r="A24" s="112"/>
      <x:c r="B24" s="115"/>
      <x:c r="C24" s="115"/>
      <x:c r="D24" s="115"/>
      <x:c r="E24" s="115"/>
      <x:c r="F24" s="45" t="str">
        <x:f>IF(A24="","",B24-C24+D24-E24)</x:f>
      </x:c>
      <x:c r="G24" s="115"/>
      <x:c r="H24" s="45" t="str">
        <x:f>IF(A24="","",F24+G24)</x:f>
      </x:c>
      <x:c r="I24" s="45" t="str">
        <x:f>IF(H24="","",MAX($H$5:H24))</x:f>
      </x:c>
      <x:c r="J24" s="49" t="str">
        <x:f>IF(H24="","",H24/I24-1)</x:f>
      </x:c>
      <x:c r="K24" s="111"/>
      <x:c r="L24" s="111"/>
      <x:c r="M24" s="111"/>
      <x:c r="N24" s="111"/>
    </x:row>
    <x:row r="25">
      <x:c r="A25" s="112"/>
      <x:c r="B25" s="115"/>
      <x:c r="C25" s="115"/>
      <x:c r="D25" s="115"/>
      <x:c r="E25" s="115"/>
      <x:c r="F25" s="45" t="str">
        <x:f>IF(A25="","",B25-C25+D25-E25)</x:f>
      </x:c>
      <x:c r="G25" s="115"/>
      <x:c r="H25" s="45" t="str">
        <x:f>IF(A25="","",F25+G25)</x:f>
      </x:c>
      <x:c r="I25" s="45" t="str">
        <x:f>IF(H25="","",MAX($H$5:H25))</x:f>
      </x:c>
      <x:c r="J25" s="49" t="str">
        <x:f>IF(H25="","",H25/I25-1)</x:f>
      </x:c>
      <x:c r="K25" s="111"/>
      <x:c r="L25" s="111"/>
      <x:c r="M25" s="111"/>
      <x:c r="N25" s="111"/>
    </x:row>
    <x:row r="26">
      <x:c r="A26" s="112"/>
      <x:c r="B26" s="115"/>
      <x:c r="C26" s="115"/>
      <x:c r="D26" s="115"/>
      <x:c r="E26" s="115"/>
      <x:c r="F26" s="45" t="str">
        <x:f>IF(A26="","",B26-C26+D26-E26)</x:f>
      </x:c>
      <x:c r="G26" s="115"/>
      <x:c r="H26" s="45" t="str">
        <x:f>IF(A26="","",F26+G26)</x:f>
      </x:c>
      <x:c r="I26" s="45" t="str">
        <x:f>IF(H26="","",MAX($H$5:H26))</x:f>
      </x:c>
      <x:c r="J26" s="49" t="str">
        <x:f>IF(H26="","",H26/I26-1)</x:f>
      </x:c>
      <x:c r="K26" s="111"/>
      <x:c r="L26" s="111"/>
      <x:c r="M26" s="111"/>
      <x:c r="N26" s="111"/>
    </x:row>
    <x:row r="27">
      <x:c r="A27" s="112"/>
      <x:c r="B27" s="115"/>
      <x:c r="C27" s="115"/>
      <x:c r="D27" s="115"/>
      <x:c r="E27" s="115"/>
      <x:c r="F27" s="45" t="str">
        <x:f>IF(A27="","",B27-C27+D27-E27)</x:f>
      </x:c>
      <x:c r="G27" s="115"/>
      <x:c r="H27" s="45" t="str">
        <x:f>IF(A27="","",F27+G27)</x:f>
      </x:c>
      <x:c r="I27" s="45" t="str">
        <x:f>IF(H27="","",MAX($H$5:H27))</x:f>
      </x:c>
      <x:c r="J27" s="49" t="str">
        <x:f>IF(H27="","",H27/I27-1)</x:f>
      </x:c>
      <x:c r="K27" s="111"/>
      <x:c r="L27" s="111"/>
      <x:c r="M27" s="111"/>
      <x:c r="N27" s="111"/>
    </x:row>
    <x:row r="28">
      <x:c r="A28" s="112"/>
      <x:c r="B28" s="115"/>
      <x:c r="C28" s="115"/>
      <x:c r="D28" s="115"/>
      <x:c r="E28" s="115"/>
      <x:c r="F28" s="45" t="str">
        <x:f>IF(A28="","",B28-C28+D28-E28)</x:f>
      </x:c>
      <x:c r="G28" s="115"/>
      <x:c r="H28" s="45" t="str">
        <x:f>IF(A28="","",F28+G28)</x:f>
      </x:c>
      <x:c r="I28" s="45" t="str">
        <x:f>IF(H28="","",MAX($H$5:H28))</x:f>
      </x:c>
      <x:c r="J28" s="49" t="str">
        <x:f>IF(H28="","",H28/I28-1)</x:f>
      </x:c>
      <x:c r="K28" s="111"/>
      <x:c r="L28" s="111"/>
      <x:c r="M28" s="111"/>
      <x:c r="N28" s="111"/>
    </x:row>
    <x:row r="29">
      <x:c r="A29" s="112"/>
      <x:c r="B29" s="115"/>
      <x:c r="C29" s="115"/>
      <x:c r="D29" s="115"/>
      <x:c r="E29" s="115"/>
      <x:c r="F29" s="45" t="str">
        <x:f>IF(A29="","",B29-C29+D29-E29)</x:f>
      </x:c>
      <x:c r="G29" s="115"/>
      <x:c r="H29" s="45" t="str">
        <x:f>IF(A29="","",F29+G29)</x:f>
      </x:c>
      <x:c r="I29" s="45" t="str">
        <x:f>IF(H29="","",MAX($H$5:H29))</x:f>
      </x:c>
      <x:c r="J29" s="49" t="str">
        <x:f>IF(H29="","",H29/I29-1)</x:f>
      </x:c>
      <x:c r="K29" s="111"/>
      <x:c r="L29" s="111"/>
      <x:c r="M29" s="111"/>
      <x:c r="N29" s="111"/>
    </x:row>
    <x:row r="30">
      <x:c r="A30" s="112"/>
      <x:c r="B30" s="115"/>
      <x:c r="C30" s="115"/>
      <x:c r="D30" s="115"/>
      <x:c r="E30" s="115"/>
      <x:c r="F30" s="45" t="str">
        <x:f>IF(A30="","",B30-C30+D30-E30)</x:f>
      </x:c>
      <x:c r="G30" s="115"/>
      <x:c r="H30" s="45" t="str">
        <x:f>IF(A30="","",F30+G30)</x:f>
      </x:c>
      <x:c r="I30" s="45" t="str">
        <x:f>IF(H30="","",MAX($H$5:H30))</x:f>
      </x:c>
      <x:c r="J30" s="49" t="str">
        <x:f>IF(H30="","",H30/I30-1)</x:f>
      </x:c>
      <x:c r="K30" s="111"/>
      <x:c r="L30" s="111"/>
      <x:c r="M30" s="111"/>
      <x:c r="N30" s="111"/>
    </x:row>
    <x:row r="31">
      <x:c r="A31" s="112"/>
      <x:c r="B31" s="115"/>
      <x:c r="C31" s="115"/>
      <x:c r="D31" s="115"/>
      <x:c r="E31" s="115"/>
      <x:c r="F31" s="45" t="str">
        <x:f>IF(A31="","",B31-C31+D31-E31)</x:f>
      </x:c>
      <x:c r="G31" s="115"/>
      <x:c r="H31" s="45" t="str">
        <x:f>IF(A31="","",F31+G31)</x:f>
      </x:c>
      <x:c r="I31" s="45" t="str">
        <x:f>IF(H31="","",MAX($H$5:H31))</x:f>
      </x:c>
      <x:c r="J31" s="49" t="str">
        <x:f>IF(H31="","",H31/I31-1)</x:f>
      </x:c>
      <x:c r="K31" s="111"/>
      <x:c r="L31" s="111"/>
      <x:c r="M31" s="111"/>
      <x:c r="N31" s="111"/>
    </x:row>
    <x:row r="32">
      <x:c r="A32" s="112"/>
      <x:c r="B32" s="115"/>
      <x:c r="C32" s="115"/>
      <x:c r="D32" s="115"/>
      <x:c r="E32" s="115"/>
      <x:c r="F32" s="45" t="str">
        <x:f>IF(A32="","",B32-C32+D32-E32)</x:f>
      </x:c>
      <x:c r="G32" s="115"/>
      <x:c r="H32" s="45" t="str">
        <x:f>IF(A32="","",F32+G32)</x:f>
      </x:c>
      <x:c r="I32" s="45" t="str">
        <x:f>IF(H32="","",MAX($H$5:H32))</x:f>
      </x:c>
      <x:c r="J32" s="49" t="str">
        <x:f>IF(H32="","",H32/I32-1)</x:f>
      </x:c>
      <x:c r="K32" s="111"/>
      <x:c r="L32" s="111"/>
      <x:c r="M32" s="111"/>
      <x:c r="N32" s="111"/>
    </x:row>
    <x:row r="33">
      <x:c r="A33" s="112"/>
      <x:c r="B33" s="115"/>
      <x:c r="C33" s="115"/>
      <x:c r="D33" s="115"/>
      <x:c r="E33" s="115"/>
      <x:c r="F33" s="45" t="str">
        <x:f>IF(A33="","",B33-C33+D33-E33)</x:f>
      </x:c>
      <x:c r="G33" s="115"/>
      <x:c r="H33" s="45" t="str">
        <x:f>IF(A33="","",F33+G33)</x:f>
      </x:c>
      <x:c r="I33" s="45" t="str">
        <x:f>IF(H33="","",MAX($H$5:H33))</x:f>
      </x:c>
      <x:c r="J33" s="49" t="str">
        <x:f>IF(H33="","",H33/I33-1)</x:f>
      </x:c>
      <x:c r="K33" s="111"/>
      <x:c r="L33" s="111"/>
      <x:c r="M33" s="111"/>
      <x:c r="N33" s="111"/>
    </x:row>
    <x:row r="34">
      <x:c r="A34" s="112"/>
      <x:c r="B34" s="115"/>
      <x:c r="C34" s="115"/>
      <x:c r="D34" s="115"/>
      <x:c r="E34" s="115"/>
      <x:c r="F34" s="45" t="str">
        <x:f>IF(A34="","",B34-C34+D34-E34)</x:f>
      </x:c>
      <x:c r="G34" s="115"/>
      <x:c r="H34" s="45" t="str">
        <x:f>IF(A34="","",F34+G34)</x:f>
      </x:c>
      <x:c r="I34" s="45" t="str">
        <x:f>IF(H34="","",MAX($H$5:H34))</x:f>
      </x:c>
      <x:c r="J34" s="49" t="str">
        <x:f>IF(H34="","",H34/I34-1)</x:f>
      </x:c>
      <x:c r="K34" s="111"/>
      <x:c r="L34" s="111"/>
      <x:c r="M34" s="111"/>
      <x:c r="N34" s="111"/>
    </x:row>
    <x:row r="35">
      <x:c r="A35" s="112"/>
      <x:c r="B35" s="115"/>
      <x:c r="C35" s="115"/>
      <x:c r="D35" s="115"/>
      <x:c r="E35" s="115"/>
      <x:c r="F35" s="45" t="str">
        <x:f>IF(A35="","",B35-C35+D35-E35)</x:f>
      </x:c>
      <x:c r="G35" s="115"/>
      <x:c r="H35" s="45" t="str">
        <x:f>IF(A35="","",F35+G35)</x:f>
      </x:c>
      <x:c r="I35" s="45" t="str">
        <x:f>IF(H35="","",MAX($H$5:H35))</x:f>
      </x:c>
      <x:c r="J35" s="49" t="str">
        <x:f>IF(H35="","",H35/I35-1)</x:f>
      </x:c>
      <x:c r="K35" s="111"/>
      <x:c r="L35" s="111"/>
      <x:c r="M35" s="111"/>
      <x:c r="N35" s="111"/>
    </x:row>
    <x:row r="36">
      <x:c r="A36" s="112"/>
      <x:c r="B36" s="115"/>
      <x:c r="C36" s="115"/>
      <x:c r="D36" s="115"/>
      <x:c r="E36" s="115"/>
      <x:c r="F36" s="45" t="str">
        <x:f>IF(A36="","",B36-C36+D36-E36)</x:f>
      </x:c>
      <x:c r="G36" s="115"/>
      <x:c r="H36" s="45" t="str">
        <x:f>IF(A36="","",F36+G36)</x:f>
      </x:c>
      <x:c r="I36" s="45" t="str">
        <x:f>IF(H36="","",MAX($H$5:H36))</x:f>
      </x:c>
      <x:c r="J36" s="49" t="str">
        <x:f>IF(H36="","",H36/I36-1)</x:f>
      </x:c>
      <x:c r="K36" s="111"/>
      <x:c r="L36" s="111"/>
      <x:c r="M36" s="111"/>
      <x:c r="N36" s="111"/>
    </x:row>
    <x:row r="37">
      <x:c r="A37" s="112"/>
      <x:c r="B37" s="115"/>
      <x:c r="C37" s="115"/>
      <x:c r="D37" s="115"/>
      <x:c r="E37" s="115"/>
      <x:c r="F37" s="45" t="str">
        <x:f>IF(A37="","",B37-C37+D37-E37)</x:f>
      </x:c>
      <x:c r="G37" s="115"/>
      <x:c r="H37" s="45" t="str">
        <x:f>IF(A37="","",F37+G37)</x:f>
      </x:c>
      <x:c r="I37" s="45" t="str">
        <x:f>IF(H37="","",MAX($H$5:H37))</x:f>
      </x:c>
      <x:c r="J37" s="49" t="str">
        <x:f>IF(H37="","",H37/I37-1)</x:f>
      </x:c>
      <x:c r="K37" s="111"/>
      <x:c r="L37" s="111"/>
      <x:c r="M37" s="111"/>
      <x:c r="N37" s="111"/>
    </x:row>
    <x:row r="38">
      <x:c r="A38" s="112"/>
      <x:c r="B38" s="115"/>
      <x:c r="C38" s="115"/>
      <x:c r="D38" s="115"/>
      <x:c r="E38" s="115"/>
      <x:c r="F38" s="45" t="str">
        <x:f>IF(A38="","",B38-C38+D38-E38)</x:f>
      </x:c>
      <x:c r="G38" s="115"/>
      <x:c r="H38" s="45" t="str">
        <x:f>IF(A38="","",F38+G38)</x:f>
      </x:c>
      <x:c r="I38" s="45" t="str">
        <x:f>IF(H38="","",MAX($H$5:H38))</x:f>
      </x:c>
      <x:c r="J38" s="49" t="str">
        <x:f>IF(H38="","",H38/I38-1)</x:f>
      </x:c>
      <x:c r="K38" s="111"/>
      <x:c r="L38" s="111"/>
      <x:c r="M38" s="111"/>
      <x:c r="N38" s="111"/>
    </x:row>
    <x:row r="39">
      <x:c r="A39" s="112"/>
      <x:c r="B39" s="115"/>
      <x:c r="C39" s="115"/>
      <x:c r="D39" s="115"/>
      <x:c r="E39" s="115"/>
      <x:c r="F39" s="45" t="str">
        <x:f>IF(A39="","",B39-C39+D39-E39)</x:f>
      </x:c>
      <x:c r="G39" s="115"/>
      <x:c r="H39" s="45" t="str">
        <x:f>IF(A39="","",F39+G39)</x:f>
      </x:c>
      <x:c r="I39" s="45" t="str">
        <x:f>IF(H39="","",MAX($H$5:H39))</x:f>
      </x:c>
      <x:c r="J39" s="49" t="str">
        <x:f>IF(H39="","",H39/I39-1)</x:f>
      </x:c>
      <x:c r="K39" s="111"/>
      <x:c r="L39" s="111"/>
      <x:c r="M39" s="111"/>
      <x:c r="N39" s="111"/>
    </x:row>
    <x:row r="40">
      <x:c r="A40" s="112"/>
      <x:c r="B40" s="115"/>
      <x:c r="C40" s="115"/>
      <x:c r="D40" s="115"/>
      <x:c r="E40" s="115"/>
      <x:c r="F40" s="45" t="str">
        <x:f>IF(A40="","",B40-C40+D40-E40)</x:f>
      </x:c>
      <x:c r="G40" s="115"/>
      <x:c r="H40" s="45" t="str">
        <x:f>IF(A40="","",F40+G40)</x:f>
      </x:c>
      <x:c r="I40" s="45" t="str">
        <x:f>IF(H40="","",MAX($H$5:H40))</x:f>
      </x:c>
      <x:c r="J40" s="49" t="str">
        <x:f>IF(H40="","",H40/I40-1)</x:f>
      </x:c>
      <x:c r="K40" s="111"/>
      <x:c r="L40" s="111"/>
      <x:c r="M40" s="111"/>
      <x:c r="N40" s="111"/>
    </x:row>
    <x:row r="41">
      <x:c r="A41" s="112"/>
      <x:c r="B41" s="115"/>
      <x:c r="C41" s="115"/>
      <x:c r="D41" s="115"/>
      <x:c r="E41" s="115"/>
      <x:c r="F41" s="45" t="str">
        <x:f>IF(A41="","",B41-C41+D41-E41)</x:f>
      </x:c>
      <x:c r="G41" s="115"/>
      <x:c r="H41" s="45" t="str">
        <x:f>IF(A41="","",F41+G41)</x:f>
      </x:c>
      <x:c r="I41" s="45" t="str">
        <x:f>IF(H41="","",MAX($H$5:H41))</x:f>
      </x:c>
      <x:c r="J41" s="49" t="str">
        <x:f>IF(H41="","",H41/I41-1)</x:f>
      </x:c>
      <x:c r="K41" s="111"/>
      <x:c r="L41" s="111"/>
      <x:c r="M41" s="111"/>
      <x:c r="N41" s="111"/>
    </x:row>
    <x:row r="42">
      <x:c r="A42" s="112"/>
      <x:c r="B42" s="115"/>
      <x:c r="C42" s="115"/>
      <x:c r="D42" s="115"/>
      <x:c r="E42" s="115"/>
      <x:c r="F42" s="45" t="str">
        <x:f>IF(A42="","",B42-C42+D42-E42)</x:f>
      </x:c>
      <x:c r="G42" s="115"/>
      <x:c r="H42" s="45" t="str">
        <x:f>IF(A42="","",F42+G42)</x:f>
      </x:c>
      <x:c r="I42" s="45" t="str">
        <x:f>IF(H42="","",MAX($H$5:H42))</x:f>
      </x:c>
      <x:c r="J42" s="49" t="str">
        <x:f>IF(H42="","",H42/I42-1)</x:f>
      </x:c>
      <x:c r="K42" s="111"/>
      <x:c r="L42" s="111"/>
      <x:c r="M42" s="111"/>
      <x:c r="N42" s="111"/>
    </x:row>
    <x:row r="43">
      <x:c r="A43" s="112"/>
      <x:c r="B43" s="115"/>
      <x:c r="C43" s="115"/>
      <x:c r="D43" s="115"/>
      <x:c r="E43" s="115"/>
      <x:c r="F43" s="45" t="str">
        <x:f>IF(A43="","",B43-C43+D43-E43)</x:f>
      </x:c>
      <x:c r="G43" s="115"/>
      <x:c r="H43" s="45" t="str">
        <x:f>IF(A43="","",F43+G43)</x:f>
      </x:c>
      <x:c r="I43" s="45" t="str">
        <x:f>IF(H43="","",MAX($H$5:H43))</x:f>
      </x:c>
      <x:c r="J43" s="49" t="str">
        <x:f>IF(H43="","",H43/I43-1)</x:f>
      </x:c>
      <x:c r="K43" s="111"/>
      <x:c r="L43" s="111"/>
      <x:c r="M43" s="111"/>
      <x:c r="N43" s="111"/>
    </x:row>
    <x:row r="44">
      <x:c r="A44" s="112"/>
      <x:c r="B44" s="115"/>
      <x:c r="C44" s="115"/>
      <x:c r="D44" s="115"/>
      <x:c r="E44" s="115"/>
      <x:c r="F44" s="45" t="str">
        <x:f>IF(A44="","",B44-C44+D44-E44)</x:f>
      </x:c>
      <x:c r="G44" s="115"/>
      <x:c r="H44" s="45" t="str">
        <x:f>IF(A44="","",F44+G44)</x:f>
      </x:c>
      <x:c r="I44" s="45" t="str">
        <x:f>IF(H44="","",MAX($H$5:H44))</x:f>
      </x:c>
      <x:c r="J44" s="49" t="str">
        <x:f>IF(H44="","",H44/I44-1)</x:f>
      </x:c>
      <x:c r="K44" s="111"/>
      <x:c r="L44" s="111"/>
      <x:c r="M44" s="111"/>
      <x:c r="N44" s="111"/>
    </x:row>
    <x:row r="45">
      <x:c r="A45" s="112"/>
      <x:c r="B45" s="115"/>
      <x:c r="C45" s="115"/>
      <x:c r="D45" s="115"/>
      <x:c r="E45" s="115"/>
      <x:c r="F45" s="45" t="str">
        <x:f>IF(A45="","",B45-C45+D45-E45)</x:f>
      </x:c>
      <x:c r="G45" s="115"/>
      <x:c r="H45" s="45" t="str">
        <x:f>IF(A45="","",F45+G45)</x:f>
      </x:c>
      <x:c r="I45" s="45" t="str">
        <x:f>IF(H45="","",MAX($H$5:H45))</x:f>
      </x:c>
      <x:c r="J45" s="49" t="str">
        <x:f>IF(H45="","",H45/I45-1)</x:f>
      </x:c>
      <x:c r="K45" s="111"/>
      <x:c r="L45" s="111"/>
      <x:c r="M45" s="111"/>
      <x:c r="N45" s="111"/>
    </x:row>
    <x:row r="46">
      <x:c r="A46" s="112"/>
      <x:c r="B46" s="115"/>
      <x:c r="C46" s="115"/>
      <x:c r="D46" s="115"/>
      <x:c r="E46" s="115"/>
      <x:c r="F46" s="45" t="str">
        <x:f>IF(A46="","",B46-C46+D46-E46)</x:f>
      </x:c>
      <x:c r="G46" s="115"/>
      <x:c r="H46" s="45" t="str">
        <x:f>IF(A46="","",F46+G46)</x:f>
      </x:c>
      <x:c r="I46" s="45" t="str">
        <x:f>IF(H46="","",MAX($H$5:H46))</x:f>
      </x:c>
      <x:c r="J46" s="49" t="str">
        <x:f>IF(H46="","",H46/I46-1)</x:f>
      </x:c>
      <x:c r="K46" s="111"/>
      <x:c r="L46" s="111"/>
      <x:c r="M46" s="111"/>
      <x:c r="N46" s="111"/>
    </x:row>
    <x:row r="47">
      <x:c r="A47" s="112"/>
      <x:c r="B47" s="115"/>
      <x:c r="C47" s="115"/>
      <x:c r="D47" s="115"/>
      <x:c r="E47" s="115"/>
      <x:c r="F47" s="45" t="str">
        <x:f>IF(A47="","",B47-C47+D47-E47)</x:f>
      </x:c>
      <x:c r="G47" s="115"/>
      <x:c r="H47" s="45" t="str">
        <x:f>IF(A47="","",F47+G47)</x:f>
      </x:c>
      <x:c r="I47" s="45" t="str">
        <x:f>IF(H47="","",MAX($H$5:H47))</x:f>
      </x:c>
      <x:c r="J47" s="49" t="str">
        <x:f>IF(H47="","",H47/I47-1)</x:f>
      </x:c>
      <x:c r="K47" s="111"/>
      <x:c r="L47" s="111"/>
      <x:c r="M47" s="111"/>
      <x:c r="N47" s="111"/>
    </x:row>
    <x:row r="48">
      <x:c r="A48" s="112"/>
      <x:c r="B48" s="115"/>
      <x:c r="C48" s="115"/>
      <x:c r="D48" s="115"/>
      <x:c r="E48" s="115"/>
      <x:c r="F48" s="45" t="str">
        <x:f>IF(A48="","",B48-C48+D48-E48)</x:f>
      </x:c>
      <x:c r="G48" s="115"/>
      <x:c r="H48" s="45" t="str">
        <x:f>IF(A48="","",F48+G48)</x:f>
      </x:c>
      <x:c r="I48" s="45" t="str">
        <x:f>IF(H48="","",MAX($H$5:H48))</x:f>
      </x:c>
      <x:c r="J48" s="49" t="str">
        <x:f>IF(H48="","",H48/I48-1)</x:f>
      </x:c>
      <x:c r="K48" s="111"/>
      <x:c r="L48" s="111"/>
      <x:c r="M48" s="111"/>
      <x:c r="N48" s="111"/>
    </x:row>
    <x:row r="49">
      <x:c r="A49" s="112"/>
      <x:c r="B49" s="115"/>
      <x:c r="C49" s="115"/>
      <x:c r="D49" s="115"/>
      <x:c r="E49" s="115"/>
      <x:c r="F49" s="45" t="str">
        <x:f>IF(A49="","",B49-C49+D49-E49)</x:f>
      </x:c>
      <x:c r="G49" s="115"/>
      <x:c r="H49" s="45" t="str">
        <x:f>IF(A49="","",F49+G49)</x:f>
      </x:c>
      <x:c r="I49" s="45" t="str">
        <x:f>IF(H49="","",MAX($H$5:H49))</x:f>
      </x:c>
      <x:c r="J49" s="49" t="str">
        <x:f>IF(H49="","",H49/I49-1)</x:f>
      </x:c>
      <x:c r="K49" s="111"/>
      <x:c r="L49" s="111"/>
      <x:c r="M49" s="111"/>
      <x:c r="N49" s="111"/>
    </x:row>
    <x:row r="50">
      <x:c r="A50" s="112"/>
      <x:c r="B50" s="115"/>
      <x:c r="C50" s="115"/>
      <x:c r="D50" s="115"/>
      <x:c r="E50" s="115"/>
      <x:c r="F50" s="45" t="str">
        <x:f>IF(A50="","",B50-C50+D50-E50)</x:f>
      </x:c>
      <x:c r="G50" s="115"/>
      <x:c r="H50" s="45" t="str">
        <x:f>IF(A50="","",F50+G50)</x:f>
      </x:c>
      <x:c r="I50" s="45" t="str">
        <x:f>IF(H50="","",MAX($H$5:H50))</x:f>
      </x:c>
      <x:c r="J50" s="49" t="str">
        <x:f>IF(H50="","",H50/I50-1)</x:f>
      </x:c>
      <x:c r="K50" s="111"/>
      <x:c r="L50" s="111"/>
      <x:c r="M50" s="111"/>
      <x:c r="N50" s="111"/>
    </x:row>
    <x:row r="51">
      <x:c r="A51" s="112"/>
      <x:c r="B51" s="115"/>
      <x:c r="C51" s="115"/>
      <x:c r="D51" s="115"/>
      <x:c r="E51" s="115"/>
      <x:c r="F51" s="45" t="str">
        <x:f>IF(A51="","",B51-C51+D51-E51)</x:f>
      </x:c>
      <x:c r="G51" s="115"/>
      <x:c r="H51" s="45" t="str">
        <x:f>IF(A51="","",F51+G51)</x:f>
      </x:c>
      <x:c r="I51" s="45" t="str">
        <x:f>IF(H51="","",MAX($H$5:H51))</x:f>
      </x:c>
      <x:c r="J51" s="49" t="str">
        <x:f>IF(H51="","",H51/I51-1)</x:f>
      </x:c>
      <x:c r="K51" s="111"/>
      <x:c r="L51" s="111"/>
      <x:c r="M51" s="111"/>
      <x:c r="N51" s="111"/>
    </x:row>
    <x:row r="52">
      <x:c r="A52" s="112"/>
      <x:c r="B52" s="115"/>
      <x:c r="C52" s="115"/>
      <x:c r="D52" s="115"/>
      <x:c r="E52" s="115"/>
      <x:c r="F52" s="45" t="str">
        <x:f>IF(A52="","",B52-C52+D52-E52)</x:f>
      </x:c>
      <x:c r="G52" s="115"/>
      <x:c r="H52" s="45" t="str">
        <x:f>IF(A52="","",F52+G52)</x:f>
      </x:c>
      <x:c r="I52" s="45" t="str">
        <x:f>IF(H52="","",MAX($H$5:H52))</x:f>
      </x:c>
      <x:c r="J52" s="49" t="str">
        <x:f>IF(H52="","",H52/I52-1)</x:f>
      </x:c>
      <x:c r="K52" s="111"/>
      <x:c r="L52" s="111"/>
      <x:c r="M52" s="111"/>
      <x:c r="N52" s="111"/>
    </x:row>
    <x:row r="53">
      <x:c r="A53" s="112"/>
      <x:c r="B53" s="115"/>
      <x:c r="C53" s="115"/>
      <x:c r="D53" s="115"/>
      <x:c r="E53" s="115"/>
      <x:c r="F53" s="45" t="str">
        <x:f>IF(A53="","",B53-C53+D53-E53)</x:f>
      </x:c>
      <x:c r="G53" s="115"/>
      <x:c r="H53" s="45" t="str">
        <x:f>IF(A53="","",F53+G53)</x:f>
      </x:c>
      <x:c r="I53" s="45" t="str">
        <x:f>IF(H53="","",MAX($H$5:H53))</x:f>
      </x:c>
      <x:c r="J53" s="49" t="str">
        <x:f>IF(H53="","",H53/I53-1)</x:f>
      </x:c>
      <x:c r="K53" s="111"/>
      <x:c r="L53" s="111"/>
      <x:c r="M53" s="111"/>
      <x:c r="N53" s="111"/>
    </x:row>
    <x:row r="54">
      <x:c r="A54" s="112"/>
      <x:c r="B54" s="115"/>
      <x:c r="C54" s="115"/>
      <x:c r="D54" s="115"/>
      <x:c r="E54" s="115"/>
      <x:c r="F54" s="45" t="str">
        <x:f>IF(A54="","",B54-C54+D54-E54)</x:f>
      </x:c>
      <x:c r="G54" s="115"/>
      <x:c r="H54" s="45" t="str">
        <x:f>IF(A54="","",F54+G54)</x:f>
      </x:c>
      <x:c r="I54" s="45" t="str">
        <x:f>IF(H54="","",MAX($H$5:H54))</x:f>
      </x:c>
      <x:c r="J54" s="49" t="str">
        <x:f>IF(H54="","",H54/I54-1)</x:f>
      </x:c>
      <x:c r="K54" s="111"/>
      <x:c r="L54" s="111"/>
      <x:c r="M54" s="111"/>
      <x:c r="N54" s="111"/>
    </x:row>
    <x:row r="55">
      <x:c r="A55" s="112"/>
      <x:c r="B55" s="115"/>
      <x:c r="C55" s="115"/>
      <x:c r="D55" s="115"/>
      <x:c r="E55" s="115"/>
      <x:c r="F55" s="45" t="str">
        <x:f>IF(A55="","",B55-C55+D55-E55)</x:f>
      </x:c>
      <x:c r="G55" s="115"/>
      <x:c r="H55" s="45" t="str">
        <x:f>IF(A55="","",F55+G55)</x:f>
      </x:c>
      <x:c r="I55" s="45" t="str">
        <x:f>IF(H55="","",MAX($H$5:H55))</x:f>
      </x:c>
      <x:c r="J55" s="49" t="str">
        <x:f>IF(H55="","",H55/I55-1)</x:f>
      </x:c>
      <x:c r="K55" s="111"/>
      <x:c r="L55" s="111"/>
      <x:c r="M55" s="111"/>
      <x:c r="N55" s="111"/>
    </x:row>
    <x:row r="56">
      <x:c r="A56" s="112"/>
      <x:c r="B56" s="115"/>
      <x:c r="C56" s="115"/>
      <x:c r="D56" s="115"/>
      <x:c r="E56" s="115"/>
      <x:c r="F56" s="45" t="str">
        <x:f>IF(A56="","",B56-C56+D56-E56)</x:f>
      </x:c>
      <x:c r="G56" s="115"/>
      <x:c r="H56" s="45" t="str">
        <x:f>IF(A56="","",F56+G56)</x:f>
      </x:c>
      <x:c r="I56" s="45" t="str">
        <x:f>IF(H56="","",MAX($H$5:H56))</x:f>
      </x:c>
      <x:c r="J56" s="49" t="str">
        <x:f>IF(H56="","",H56/I56-1)</x:f>
      </x:c>
      <x:c r="K56" s="111"/>
      <x:c r="L56" s="111"/>
      <x:c r="M56" s="111"/>
      <x:c r="N56" s="111"/>
    </x:row>
    <x:row r="57">
      <x:c r="A57" s="112"/>
      <x:c r="B57" s="115"/>
      <x:c r="C57" s="115"/>
      <x:c r="D57" s="115"/>
      <x:c r="E57" s="115"/>
      <x:c r="F57" s="45" t="str">
        <x:f>IF(A57="","",B57-C57+D57-E57)</x:f>
      </x:c>
      <x:c r="G57" s="115"/>
      <x:c r="H57" s="45" t="str">
        <x:f>IF(A57="","",F57+G57)</x:f>
      </x:c>
      <x:c r="I57" s="45" t="str">
        <x:f>IF(H57="","",MAX($H$5:H57))</x:f>
      </x:c>
      <x:c r="J57" s="49" t="str">
        <x:f>IF(H57="","",H57/I57-1)</x:f>
      </x:c>
      <x:c r="K57" s="111"/>
      <x:c r="L57" s="111"/>
      <x:c r="M57" s="111"/>
      <x:c r="N57" s="111"/>
    </x:row>
    <x:row r="58">
      <x:c r="A58" s="112"/>
      <x:c r="B58" s="115"/>
      <x:c r="C58" s="115"/>
      <x:c r="D58" s="115"/>
      <x:c r="E58" s="115"/>
      <x:c r="F58" s="45" t="str">
        <x:f>IF(A58="","",B58-C58+D58-E58)</x:f>
      </x:c>
      <x:c r="G58" s="115"/>
      <x:c r="H58" s="45" t="str">
        <x:f>IF(A58="","",F58+G58)</x:f>
      </x:c>
      <x:c r="I58" s="45" t="str">
        <x:f>IF(H58="","",MAX($H$5:H58))</x:f>
      </x:c>
      <x:c r="J58" s="49" t="str">
        <x:f>IF(H58="","",H58/I58-1)</x:f>
      </x:c>
      <x:c r="K58" s="111"/>
      <x:c r="L58" s="111"/>
      <x:c r="M58" s="111"/>
      <x:c r="N58" s="111"/>
    </x:row>
    <x:row r="59">
      <x:c r="A59" s="112"/>
      <x:c r="B59" s="115"/>
      <x:c r="C59" s="115"/>
      <x:c r="D59" s="115"/>
      <x:c r="E59" s="115"/>
      <x:c r="F59" s="45" t="str">
        <x:f>IF(A59="","",B59-C59+D59-E59)</x:f>
      </x:c>
      <x:c r="G59" s="115"/>
      <x:c r="H59" s="45" t="str">
        <x:f>IF(A59="","",F59+G59)</x:f>
      </x:c>
      <x:c r="I59" s="45" t="str">
        <x:f>IF(H59="","",MAX($H$5:H59))</x:f>
      </x:c>
      <x:c r="J59" s="49" t="str">
        <x:f>IF(H59="","",H59/I59-1)</x:f>
      </x:c>
      <x:c r="K59" s="111"/>
      <x:c r="L59" s="111"/>
      <x:c r="M59" s="111"/>
      <x:c r="N59" s="111"/>
    </x:row>
    <x:row r="60">
      <x:c r="A60" s="112"/>
      <x:c r="B60" s="115"/>
      <x:c r="C60" s="115"/>
      <x:c r="D60" s="115"/>
      <x:c r="E60" s="115"/>
      <x:c r="F60" s="45" t="str">
        <x:f>IF(A60="","",B60-C60+D60-E60)</x:f>
      </x:c>
      <x:c r="G60" s="115"/>
      <x:c r="H60" s="45" t="str">
        <x:f>IF(A60="","",F60+G60)</x:f>
      </x:c>
      <x:c r="I60" s="45" t="str">
        <x:f>IF(H60="","",MAX($H$5:H60))</x:f>
      </x:c>
      <x:c r="J60" s="49" t="str">
        <x:f>IF(H60="","",H60/I60-1)</x:f>
      </x:c>
      <x:c r="K60" s="111"/>
      <x:c r="L60" s="111"/>
      <x:c r="M60" s="111"/>
      <x:c r="N60" s="111"/>
    </x:row>
    <x:row r="61">
      <x:c r="A61" s="112"/>
      <x:c r="B61" s="115"/>
      <x:c r="C61" s="115"/>
      <x:c r="D61" s="115"/>
      <x:c r="E61" s="115"/>
      <x:c r="F61" s="45" t="str">
        <x:f>IF(A61="","",B61-C61+D61-E61)</x:f>
      </x:c>
      <x:c r="G61" s="115"/>
      <x:c r="H61" s="45" t="str">
        <x:f>IF(A61="","",F61+G61)</x:f>
      </x:c>
      <x:c r="I61" s="45" t="str">
        <x:f>IF(H61="","",MAX($H$5:H61))</x:f>
      </x:c>
      <x:c r="J61" s="49" t="str">
        <x:f>IF(H61="","",H61/I61-1)</x:f>
      </x:c>
      <x:c r="K61" s="111"/>
      <x:c r="L61" s="111"/>
      <x:c r="M61" s="111"/>
      <x:c r="N61" s="111"/>
    </x:row>
    <x:row r="62">
      <x:c r="A62" s="112"/>
      <x:c r="B62" s="115"/>
      <x:c r="C62" s="115"/>
      <x:c r="D62" s="115"/>
      <x:c r="E62" s="115"/>
      <x:c r="F62" s="45" t="str">
        <x:f>IF(A62="","",B62-C62+D62-E62)</x:f>
      </x:c>
      <x:c r="G62" s="115"/>
      <x:c r="H62" s="45" t="str">
        <x:f>IF(A62="","",F62+G62)</x:f>
      </x:c>
      <x:c r="I62" s="45" t="str">
        <x:f>IF(H62="","",MAX($H$5:H62))</x:f>
      </x:c>
      <x:c r="J62" s="49" t="str">
        <x:f>IF(H62="","",H62/I62-1)</x:f>
      </x:c>
      <x:c r="K62" s="111"/>
      <x:c r="L62" s="111"/>
      <x:c r="M62" s="111"/>
      <x:c r="N62" s="111"/>
    </x:row>
    <x:row r="63">
      <x:c r="A63" s="112"/>
      <x:c r="B63" s="115"/>
      <x:c r="C63" s="115"/>
      <x:c r="D63" s="115"/>
      <x:c r="E63" s="115"/>
      <x:c r="F63" s="45" t="str">
        <x:f>IF(A63="","",B63-C63+D63-E63)</x:f>
      </x:c>
      <x:c r="G63" s="115"/>
      <x:c r="H63" s="45" t="str">
        <x:f>IF(A63="","",F63+G63)</x:f>
      </x:c>
      <x:c r="I63" s="45" t="str">
        <x:f>IF(H63="","",MAX($H$5:H63))</x:f>
      </x:c>
      <x:c r="J63" s="49" t="str">
        <x:f>IF(H63="","",H63/I63-1)</x:f>
      </x:c>
      <x:c r="K63" s="111"/>
      <x:c r="L63" s="111"/>
      <x:c r="M63" s="111"/>
      <x:c r="N63" s="111"/>
    </x:row>
    <x:row r="64">
      <x:c r="A64" s="112"/>
      <x:c r="B64" s="115"/>
      <x:c r="C64" s="115"/>
      <x:c r="D64" s="115"/>
      <x:c r="E64" s="115"/>
      <x:c r="F64" s="45" t="str">
        <x:f>IF(A64="","",B64-C64+D64-E64)</x:f>
      </x:c>
      <x:c r="G64" s="115"/>
      <x:c r="H64" s="45" t="str">
        <x:f>IF(A64="","",F64+G64)</x:f>
      </x:c>
      <x:c r="I64" s="45" t="str">
        <x:f>IF(H64="","",MAX($H$5:H64))</x:f>
      </x:c>
      <x:c r="J64" s="49" t="str">
        <x:f>IF(H64="","",H64/I64-1)</x:f>
      </x:c>
      <x:c r="K64" s="111"/>
      <x:c r="L64" s="111"/>
      <x:c r="M64" s="111"/>
      <x:c r="N64" s="111"/>
    </x:row>
    <x:row r="65">
      <x:c r="A65" s="112"/>
      <x:c r="B65" s="115"/>
      <x:c r="C65" s="115"/>
      <x:c r="D65" s="115"/>
      <x:c r="E65" s="115"/>
      <x:c r="F65" s="45" t="str">
        <x:f>IF(A65="","",B65-C65+D65-E65)</x:f>
      </x:c>
      <x:c r="G65" s="115"/>
      <x:c r="H65" s="45" t="str">
        <x:f>IF(A65="","",F65+G65)</x:f>
      </x:c>
      <x:c r="I65" s="45" t="str">
        <x:f>IF(H65="","",MAX($H$5:H65))</x:f>
      </x:c>
      <x:c r="J65" s="49" t="str">
        <x:f>IF(H65="","",H65/I65-1)</x:f>
      </x:c>
      <x:c r="K65" s="111"/>
      <x:c r="L65" s="111"/>
      <x:c r="M65" s="111"/>
      <x:c r="N65" s="111"/>
    </x:row>
    <x:row r="66">
      <x:c r="A66" s="112"/>
      <x:c r="B66" s="115"/>
      <x:c r="C66" s="115"/>
      <x:c r="D66" s="115"/>
      <x:c r="E66" s="115"/>
      <x:c r="F66" s="45" t="str">
        <x:f>IF(A66="","",B66-C66+D66-E66)</x:f>
      </x:c>
      <x:c r="G66" s="115"/>
      <x:c r="H66" s="45" t="str">
        <x:f>IF(A66="","",F66+G66)</x:f>
      </x:c>
      <x:c r="I66" s="45" t="str">
        <x:f>IF(H66="","",MAX($H$5:H66))</x:f>
      </x:c>
      <x:c r="J66" s="49" t="str">
        <x:f>IF(H66="","",H66/I66-1)</x:f>
      </x:c>
      <x:c r="K66" s="111"/>
      <x:c r="L66" s="111"/>
      <x:c r="M66" s="111"/>
      <x:c r="N66" s="111"/>
    </x:row>
    <x:row r="67">
      <x:c r="A67" s="112"/>
      <x:c r="B67" s="115"/>
      <x:c r="C67" s="115"/>
      <x:c r="D67" s="115"/>
      <x:c r="E67" s="115"/>
      <x:c r="F67" s="45" t="str">
        <x:f>IF(A67="","",B67-C67+D67-E67)</x:f>
      </x:c>
      <x:c r="G67" s="115"/>
      <x:c r="H67" s="45" t="str">
        <x:f>IF(A67="","",F67+G67)</x:f>
      </x:c>
      <x:c r="I67" s="45" t="str">
        <x:f>IF(H67="","",MAX($H$5:H67))</x:f>
      </x:c>
      <x:c r="J67" s="49" t="str">
        <x:f>IF(H67="","",H67/I67-1)</x:f>
      </x:c>
      <x:c r="K67" s="111"/>
      <x:c r="L67" s="111"/>
      <x:c r="M67" s="111"/>
      <x:c r="N67" s="111"/>
    </x:row>
    <x:row r="68">
      <x:c r="A68" s="112"/>
      <x:c r="B68" s="115"/>
      <x:c r="C68" s="115"/>
      <x:c r="D68" s="115"/>
      <x:c r="E68" s="115"/>
      <x:c r="F68" s="45" t="str">
        <x:f>IF(A68="","",B68-C68+D68-E68)</x:f>
      </x:c>
      <x:c r="G68" s="115"/>
      <x:c r="H68" s="45" t="str">
        <x:f>IF(A68="","",F68+G68)</x:f>
      </x:c>
      <x:c r="I68" s="45" t="str">
        <x:f>IF(H68="","",MAX($H$5:H68))</x:f>
      </x:c>
      <x:c r="J68" s="49" t="str">
        <x:f>IF(H68="","",H68/I68-1)</x:f>
      </x:c>
      <x:c r="K68" s="111"/>
      <x:c r="L68" s="111"/>
      <x:c r="M68" s="111"/>
      <x:c r="N68" s="111"/>
    </x:row>
    <x:row r="69">
      <x:c r="A69" s="112"/>
      <x:c r="B69" s="115"/>
      <x:c r="C69" s="115"/>
      <x:c r="D69" s="115"/>
      <x:c r="E69" s="115"/>
      <x:c r="F69" s="45" t="str">
        <x:f>IF(A69="","",B69-C69+D69-E69)</x:f>
      </x:c>
      <x:c r="G69" s="115"/>
      <x:c r="H69" s="45" t="str">
        <x:f>IF(A69="","",F69+G69)</x:f>
      </x:c>
      <x:c r="I69" s="45" t="str">
        <x:f>IF(H69="","",MAX($H$5:H69))</x:f>
      </x:c>
      <x:c r="J69" s="49" t="str">
        <x:f>IF(H69="","",H69/I69-1)</x:f>
      </x:c>
      <x:c r="K69" s="111"/>
      <x:c r="L69" s="111"/>
      <x:c r="M69" s="111"/>
      <x:c r="N69" s="111"/>
    </x:row>
    <x:row r="70">
      <x:c r="A70" s="112"/>
      <x:c r="B70" s="115"/>
      <x:c r="C70" s="115"/>
      <x:c r="D70" s="115"/>
      <x:c r="E70" s="115"/>
      <x:c r="F70" s="45" t="str">
        <x:f>IF(A70="","",B70-C70+D70-E70)</x:f>
      </x:c>
      <x:c r="G70" s="115"/>
      <x:c r="H70" s="45" t="str">
        <x:f>IF(A70="","",F70+G70)</x:f>
      </x:c>
      <x:c r="I70" s="45" t="str">
        <x:f>IF(H70="","",MAX($H$5:H70))</x:f>
      </x:c>
      <x:c r="J70" s="49" t="str">
        <x:f>IF(H70="","",H70/I70-1)</x:f>
      </x:c>
      <x:c r="K70" s="111"/>
      <x:c r="L70" s="111"/>
      <x:c r="M70" s="111"/>
      <x:c r="N70" s="111"/>
    </x:row>
    <x:row r="71">
      <x:c r="A71" s="112"/>
      <x:c r="B71" s="115"/>
      <x:c r="C71" s="115"/>
      <x:c r="D71" s="115"/>
      <x:c r="E71" s="115"/>
      <x:c r="F71" s="45" t="str">
        <x:f>IF(A71="","",B71-C71+D71-E71)</x:f>
      </x:c>
      <x:c r="G71" s="115"/>
      <x:c r="H71" s="45" t="str">
        <x:f>IF(A71="","",F71+G71)</x:f>
      </x:c>
      <x:c r="I71" s="45" t="str">
        <x:f>IF(H71="","",MAX($H$5:H71))</x:f>
      </x:c>
      <x:c r="J71" s="49" t="str">
        <x:f>IF(H71="","",H71/I71-1)</x:f>
      </x:c>
      <x:c r="K71" s="111"/>
      <x:c r="L71" s="111"/>
      <x:c r="M71" s="111"/>
      <x:c r="N71" s="111"/>
    </x:row>
    <x:row r="72">
      <x:c r="A72" s="112"/>
      <x:c r="B72" s="115"/>
      <x:c r="C72" s="115"/>
      <x:c r="D72" s="115"/>
      <x:c r="E72" s="115"/>
      <x:c r="F72" s="45" t="str">
        <x:f>IF(A72="","",B72-C72+D72-E72)</x:f>
      </x:c>
      <x:c r="G72" s="115"/>
      <x:c r="H72" s="45" t="str">
        <x:f>IF(A72="","",F72+G72)</x:f>
      </x:c>
      <x:c r="I72" s="45" t="str">
        <x:f>IF(H72="","",MAX($H$5:H72))</x:f>
      </x:c>
      <x:c r="J72" s="49" t="str">
        <x:f>IF(H72="","",H72/I72-1)</x:f>
      </x:c>
      <x:c r="K72" s="111"/>
      <x:c r="L72" s="111"/>
      <x:c r="M72" s="111"/>
      <x:c r="N72" s="111"/>
    </x:row>
    <x:row r="73">
      <x:c r="A73" s="112"/>
      <x:c r="B73" s="115"/>
      <x:c r="C73" s="115"/>
      <x:c r="D73" s="115"/>
      <x:c r="E73" s="115"/>
      <x:c r="F73" s="45" t="str">
        <x:f>IF(A73="","",B73-C73+D73-E73)</x:f>
      </x:c>
      <x:c r="G73" s="115"/>
      <x:c r="H73" s="45" t="str">
        <x:f>IF(A73="","",F73+G73)</x:f>
      </x:c>
      <x:c r="I73" s="45" t="str">
        <x:f>IF(H73="","",MAX($H$5:H73))</x:f>
      </x:c>
      <x:c r="J73" s="49" t="str">
        <x:f>IF(H73="","",H73/I73-1)</x:f>
      </x:c>
      <x:c r="K73" s="111"/>
      <x:c r="L73" s="111"/>
      <x:c r="M73" s="111"/>
      <x:c r="N73" s="111"/>
    </x:row>
    <x:row r="74">
      <x:c r="A74" s="112"/>
      <x:c r="B74" s="115"/>
      <x:c r="C74" s="115"/>
      <x:c r="D74" s="115"/>
      <x:c r="E74" s="115"/>
      <x:c r="F74" s="45" t="str">
        <x:f>IF(A74="","",B74-C74+D74-E74)</x:f>
      </x:c>
      <x:c r="G74" s="115"/>
      <x:c r="H74" s="45" t="str">
        <x:f>IF(A74="","",F74+G74)</x:f>
      </x:c>
      <x:c r="I74" s="45" t="str">
        <x:f>IF(H74="","",MAX($H$5:H74))</x:f>
      </x:c>
      <x:c r="J74" s="49" t="str">
        <x:f>IF(H74="","",H74/I74-1)</x:f>
      </x:c>
      <x:c r="K74" s="111"/>
      <x:c r="L74" s="111"/>
      <x:c r="M74" s="111"/>
      <x:c r="N74" s="111"/>
    </x:row>
    <x:row r="75">
      <x:c r="A75" s="112"/>
      <x:c r="B75" s="115"/>
      <x:c r="C75" s="115"/>
      <x:c r="D75" s="115"/>
      <x:c r="E75" s="115"/>
      <x:c r="F75" s="45" t="str">
        <x:f>IF(A75="","",B75-C75+D75-E75)</x:f>
      </x:c>
      <x:c r="G75" s="115"/>
      <x:c r="H75" s="45" t="str">
        <x:f>IF(A75="","",F75+G75)</x:f>
      </x:c>
      <x:c r="I75" s="45" t="str">
        <x:f>IF(H75="","",MAX($H$5:H75))</x:f>
      </x:c>
      <x:c r="J75" s="49" t="str">
        <x:f>IF(H75="","",H75/I75-1)</x:f>
      </x:c>
      <x:c r="K75" s="111"/>
      <x:c r="L75" s="111"/>
      <x:c r="M75" s="111"/>
      <x:c r="N75" s="111"/>
    </x:row>
    <x:row r="76">
      <x:c r="A76" s="112"/>
      <x:c r="B76" s="115"/>
      <x:c r="C76" s="115"/>
      <x:c r="D76" s="115"/>
      <x:c r="E76" s="115"/>
      <x:c r="F76" s="45" t="str">
        <x:f>IF(A76="","",B76-C76+D76-E76)</x:f>
      </x:c>
      <x:c r="G76" s="115"/>
      <x:c r="H76" s="45" t="str">
        <x:f>IF(A76="","",F76+G76)</x:f>
      </x:c>
      <x:c r="I76" s="45" t="str">
        <x:f>IF(H76="","",MAX($H$5:H76))</x:f>
      </x:c>
      <x:c r="J76" s="49" t="str">
        <x:f>IF(H76="","",H76/I76-1)</x:f>
      </x:c>
      <x:c r="K76" s="111"/>
      <x:c r="L76" s="111"/>
      <x:c r="M76" s="111"/>
      <x:c r="N76" s="111"/>
    </x:row>
    <x:row r="77">
      <x:c r="A77" s="112"/>
      <x:c r="B77" s="115"/>
      <x:c r="C77" s="115"/>
      <x:c r="D77" s="115"/>
      <x:c r="E77" s="115"/>
      <x:c r="F77" s="45" t="str">
        <x:f>IF(A77="","",B77-C77+D77-E77)</x:f>
      </x:c>
      <x:c r="G77" s="115"/>
      <x:c r="H77" s="45" t="str">
        <x:f>IF(A77="","",F77+G77)</x:f>
      </x:c>
      <x:c r="I77" s="45" t="str">
        <x:f>IF(H77="","",MAX($H$5:H77))</x:f>
      </x:c>
      <x:c r="J77" s="49" t="str">
        <x:f>IF(H77="","",H77/I77-1)</x:f>
      </x:c>
      <x:c r="K77" s="111"/>
      <x:c r="L77" s="111"/>
      <x:c r="M77" s="111"/>
      <x:c r="N77" s="111"/>
    </x:row>
    <x:row r="78">
      <x:c r="A78" s="112"/>
      <x:c r="B78" s="115"/>
      <x:c r="C78" s="115"/>
      <x:c r="D78" s="115"/>
      <x:c r="E78" s="115"/>
      <x:c r="F78" s="45" t="str">
        <x:f>IF(A78="","",B78-C78+D78-E78)</x:f>
      </x:c>
      <x:c r="G78" s="115"/>
      <x:c r="H78" s="45" t="str">
        <x:f>IF(A78="","",F78+G78)</x:f>
      </x:c>
      <x:c r="I78" s="45" t="str">
        <x:f>IF(H78="","",MAX($H$5:H78))</x:f>
      </x:c>
      <x:c r="J78" s="49" t="str">
        <x:f>IF(H78="","",H78/I78-1)</x:f>
      </x:c>
      <x:c r="K78" s="111"/>
      <x:c r="L78" s="111"/>
      <x:c r="M78" s="111"/>
      <x:c r="N78" s="111"/>
    </x:row>
    <x:row r="79">
      <x:c r="A79" s="112"/>
      <x:c r="B79" s="115"/>
      <x:c r="C79" s="115"/>
      <x:c r="D79" s="115"/>
      <x:c r="E79" s="115"/>
      <x:c r="F79" s="45" t="str">
        <x:f>IF(A79="","",B79-C79+D79-E79)</x:f>
      </x:c>
      <x:c r="G79" s="115"/>
      <x:c r="H79" s="45" t="str">
        <x:f>IF(A79="","",F79+G79)</x:f>
      </x:c>
      <x:c r="I79" s="45" t="str">
        <x:f>IF(H79="","",MAX($H$5:H79))</x:f>
      </x:c>
      <x:c r="J79" s="49" t="str">
        <x:f>IF(H79="","",H79/I79-1)</x:f>
      </x:c>
      <x:c r="K79" s="111"/>
      <x:c r="L79" s="111"/>
      <x:c r="M79" s="111"/>
      <x:c r="N79" s="111"/>
    </x:row>
    <x:row r="80">
      <x:c r="A80" s="112"/>
      <x:c r="B80" s="115"/>
      <x:c r="C80" s="115"/>
      <x:c r="D80" s="115"/>
      <x:c r="E80" s="115"/>
      <x:c r="F80" s="45" t="str">
        <x:f>IF(A80="","",B80-C80+D80-E80)</x:f>
      </x:c>
      <x:c r="G80" s="115"/>
      <x:c r="H80" s="45" t="str">
        <x:f>IF(A80="","",F80+G80)</x:f>
      </x:c>
      <x:c r="I80" s="45" t="str">
        <x:f>IF(H80="","",MAX($H$5:H80))</x:f>
      </x:c>
      <x:c r="J80" s="49" t="str">
        <x:f>IF(H80="","",H80/I80-1)</x:f>
      </x:c>
      <x:c r="K80" s="111"/>
      <x:c r="L80" s="111"/>
      <x:c r="M80" s="111"/>
      <x:c r="N80" s="111"/>
    </x:row>
    <x:row r="81">
      <x:c r="A81" s="112"/>
      <x:c r="B81" s="115"/>
      <x:c r="C81" s="115"/>
      <x:c r="D81" s="115"/>
      <x:c r="E81" s="115"/>
      <x:c r="F81" s="45" t="str">
        <x:f>IF(A81="","",B81-C81+D81-E81)</x:f>
      </x:c>
      <x:c r="G81" s="115"/>
      <x:c r="H81" s="45" t="str">
        <x:f>IF(A81="","",F81+G81)</x:f>
      </x:c>
      <x:c r="I81" s="45" t="str">
        <x:f>IF(H81="","",MAX($H$5:H81))</x:f>
      </x:c>
      <x:c r="J81" s="49" t="str">
        <x:f>IF(H81="","",H81/I81-1)</x:f>
      </x:c>
      <x:c r="K81" s="111"/>
      <x:c r="L81" s="111"/>
      <x:c r="M81" s="111"/>
      <x:c r="N81" s="111"/>
    </x:row>
    <x:row r="82">
      <x:c r="A82" s="112"/>
      <x:c r="B82" s="115"/>
      <x:c r="C82" s="115"/>
      <x:c r="D82" s="115"/>
      <x:c r="E82" s="115"/>
      <x:c r="F82" s="45" t="str">
        <x:f>IF(A82="","",B82-C82+D82-E82)</x:f>
      </x:c>
      <x:c r="G82" s="115"/>
      <x:c r="H82" s="45" t="str">
        <x:f>IF(A82="","",F82+G82)</x:f>
      </x:c>
      <x:c r="I82" s="45" t="str">
        <x:f>IF(H82="","",MAX($H$5:H82))</x:f>
      </x:c>
      <x:c r="J82" s="49" t="str">
        <x:f>IF(H82="","",H82/I82-1)</x:f>
      </x:c>
      <x:c r="K82" s="111"/>
      <x:c r="L82" s="111"/>
      <x:c r="M82" s="111"/>
      <x:c r="N82" s="111"/>
    </x:row>
    <x:row r="83">
      <x:c r="A83" s="112"/>
      <x:c r="B83" s="115"/>
      <x:c r="C83" s="115"/>
      <x:c r="D83" s="115"/>
      <x:c r="E83" s="115"/>
      <x:c r="F83" s="45" t="str">
        <x:f>IF(A83="","",B83-C83+D83-E83)</x:f>
      </x:c>
      <x:c r="G83" s="115"/>
      <x:c r="H83" s="45" t="str">
        <x:f>IF(A83="","",F83+G83)</x:f>
      </x:c>
      <x:c r="I83" s="45" t="str">
        <x:f>IF(H83="","",MAX($H$5:H83))</x:f>
      </x:c>
      <x:c r="J83" s="49" t="str">
        <x:f>IF(H83="","",H83/I83-1)</x:f>
      </x:c>
      <x:c r="K83" s="111"/>
      <x:c r="L83" s="111"/>
      <x:c r="M83" s="111"/>
      <x:c r="N83" s="111"/>
    </x:row>
    <x:row r="84">
      <x:c r="A84" s="112"/>
      <x:c r="B84" s="115"/>
      <x:c r="C84" s="115"/>
      <x:c r="D84" s="115"/>
      <x:c r="E84" s="115"/>
      <x:c r="F84" s="45" t="str">
        <x:f>IF(A84="","",B84-C84+D84-E84)</x:f>
      </x:c>
      <x:c r="G84" s="115"/>
      <x:c r="H84" s="45" t="str">
        <x:f>IF(A84="","",F84+G84)</x:f>
      </x:c>
      <x:c r="I84" s="45" t="str">
        <x:f>IF(H84="","",MAX($H$5:H84))</x:f>
      </x:c>
      <x:c r="J84" s="49" t="str">
        <x:f>IF(H84="","",H84/I84-1)</x:f>
      </x:c>
      <x:c r="K84" s="111"/>
      <x:c r="L84" s="111"/>
      <x:c r="M84" s="111"/>
      <x:c r="N84" s="111"/>
    </x:row>
    <x:row r="85">
      <x:c r="A85" s="112"/>
      <x:c r="B85" s="115"/>
      <x:c r="C85" s="115"/>
      <x:c r="D85" s="115"/>
      <x:c r="E85" s="115"/>
      <x:c r="F85" s="45" t="str">
        <x:f>IF(A85="","",B85-C85+D85-E85)</x:f>
      </x:c>
      <x:c r="G85" s="115"/>
      <x:c r="H85" s="45" t="str">
        <x:f>IF(A85="","",F85+G85)</x:f>
      </x:c>
      <x:c r="I85" s="45" t="str">
        <x:f>IF(H85="","",MAX($H$5:H85))</x:f>
      </x:c>
      <x:c r="J85" s="49" t="str">
        <x:f>IF(H85="","",H85/I85-1)</x:f>
      </x:c>
      <x:c r="K85" s="111"/>
      <x:c r="L85" s="111"/>
      <x:c r="M85" s="111"/>
      <x:c r="N85" s="111"/>
    </x:row>
    <x:row r="86">
      <x:c r="A86" s="112"/>
      <x:c r="B86" s="115"/>
      <x:c r="C86" s="115"/>
      <x:c r="D86" s="115"/>
      <x:c r="E86" s="115"/>
      <x:c r="F86" s="45" t="str">
        <x:f>IF(A86="","",B86-C86+D86-E86)</x:f>
      </x:c>
      <x:c r="G86" s="115"/>
      <x:c r="H86" s="45" t="str">
        <x:f>IF(A86="","",F86+G86)</x:f>
      </x:c>
      <x:c r="I86" s="45" t="str">
        <x:f>IF(H86="","",MAX($H$5:H86))</x:f>
      </x:c>
      <x:c r="J86" s="49" t="str">
        <x:f>IF(H86="","",H86/I86-1)</x:f>
      </x:c>
      <x:c r="K86" s="111"/>
      <x:c r="L86" s="111"/>
      <x:c r="M86" s="111"/>
      <x:c r="N86" s="111"/>
    </x:row>
    <x:row r="87">
      <x:c r="A87" s="112"/>
      <x:c r="B87" s="115"/>
      <x:c r="C87" s="115"/>
      <x:c r="D87" s="115"/>
      <x:c r="E87" s="115"/>
      <x:c r="F87" s="45" t="str">
        <x:f>IF(A87="","",B87-C87+D87-E87)</x:f>
      </x:c>
      <x:c r="G87" s="115"/>
      <x:c r="H87" s="45" t="str">
        <x:f>IF(A87="","",F87+G87)</x:f>
      </x:c>
      <x:c r="I87" s="45" t="str">
        <x:f>IF(H87="","",MAX($H$5:H87))</x:f>
      </x:c>
      <x:c r="J87" s="49" t="str">
        <x:f>IF(H87="","",H87/I87-1)</x:f>
      </x:c>
      <x:c r="K87" s="111"/>
      <x:c r="L87" s="111"/>
      <x:c r="M87" s="111"/>
      <x:c r="N87" s="111"/>
    </x:row>
    <x:row r="88">
      <x:c r="A88" s="112"/>
      <x:c r="B88" s="115"/>
      <x:c r="C88" s="115"/>
      <x:c r="D88" s="115"/>
      <x:c r="E88" s="115"/>
      <x:c r="F88" s="45" t="str">
        <x:f>IF(A88="","",B88-C88+D88-E88)</x:f>
      </x:c>
      <x:c r="G88" s="115"/>
      <x:c r="H88" s="45" t="str">
        <x:f>IF(A88="","",F88+G88)</x:f>
      </x:c>
      <x:c r="I88" s="45" t="str">
        <x:f>IF(H88="","",MAX($H$5:H88))</x:f>
      </x:c>
      <x:c r="J88" s="49" t="str">
        <x:f>IF(H88="","",H88/I88-1)</x:f>
      </x:c>
      <x:c r="K88" s="111"/>
      <x:c r="L88" s="111"/>
      <x:c r="M88" s="111"/>
      <x:c r="N88" s="111"/>
    </x:row>
    <x:row r="89">
      <x:c r="A89" s="112"/>
      <x:c r="B89" s="115"/>
      <x:c r="C89" s="115"/>
      <x:c r="D89" s="115"/>
      <x:c r="E89" s="115"/>
      <x:c r="F89" s="45" t="str">
        <x:f>IF(A89="","",B89-C89+D89-E89)</x:f>
      </x:c>
      <x:c r="G89" s="115"/>
      <x:c r="H89" s="45" t="str">
        <x:f>IF(A89="","",F89+G89)</x:f>
      </x:c>
      <x:c r="I89" s="45" t="str">
        <x:f>IF(H89="","",MAX($H$5:H89))</x:f>
      </x:c>
      <x:c r="J89" s="49" t="str">
        <x:f>IF(H89="","",H89/I89-1)</x:f>
      </x:c>
      <x:c r="K89" s="111"/>
      <x:c r="L89" s="111"/>
      <x:c r="M89" s="111"/>
      <x:c r="N89" s="111"/>
    </x:row>
    <x:row r="90">
      <x:c r="A90" s="112"/>
      <x:c r="B90" s="115"/>
      <x:c r="C90" s="115"/>
      <x:c r="D90" s="115"/>
      <x:c r="E90" s="115"/>
      <x:c r="F90" s="45" t="str">
        <x:f>IF(A90="","",B90-C90+D90-E90)</x:f>
      </x:c>
      <x:c r="G90" s="115"/>
      <x:c r="H90" s="45" t="str">
        <x:f>IF(A90="","",F90+G90)</x:f>
      </x:c>
      <x:c r="I90" s="45" t="str">
        <x:f>IF(H90="","",MAX($H$5:H90))</x:f>
      </x:c>
      <x:c r="J90" s="49" t="str">
        <x:f>IF(H90="","",H90/I90-1)</x:f>
      </x:c>
      <x:c r="K90" s="111"/>
      <x:c r="L90" s="111"/>
      <x:c r="M90" s="111"/>
      <x:c r="N90" s="111"/>
    </x:row>
    <x:row r="91">
      <x:c r="A91" s="112"/>
      <x:c r="B91" s="115"/>
      <x:c r="C91" s="115"/>
      <x:c r="D91" s="115"/>
      <x:c r="E91" s="115"/>
      <x:c r="F91" s="45" t="str">
        <x:f>IF(A91="","",B91-C91+D91-E91)</x:f>
      </x:c>
      <x:c r="G91" s="115"/>
      <x:c r="H91" s="45" t="str">
        <x:f>IF(A91="","",F91+G91)</x:f>
      </x:c>
      <x:c r="I91" s="45" t="str">
        <x:f>IF(H91="","",MAX($H$5:H91))</x:f>
      </x:c>
      <x:c r="J91" s="49" t="str">
        <x:f>IF(H91="","",H91/I91-1)</x:f>
      </x:c>
      <x:c r="K91" s="111"/>
      <x:c r="L91" s="111"/>
      <x:c r="M91" s="111"/>
      <x:c r="N91" s="111"/>
    </x:row>
    <x:row r="92">
      <x:c r="A92" s="112"/>
      <x:c r="B92" s="115"/>
      <x:c r="C92" s="115"/>
      <x:c r="D92" s="115"/>
      <x:c r="E92" s="115"/>
      <x:c r="F92" s="45" t="str">
        <x:f>IF(A92="","",B92-C92+D92-E92)</x:f>
      </x:c>
      <x:c r="G92" s="115"/>
      <x:c r="H92" s="45" t="str">
        <x:f>IF(A92="","",F92+G92)</x:f>
      </x:c>
      <x:c r="I92" s="45" t="str">
        <x:f>IF(H92="","",MAX($H$5:H92))</x:f>
      </x:c>
      <x:c r="J92" s="49" t="str">
        <x:f>IF(H92="","",H92/I92-1)</x:f>
      </x:c>
      <x:c r="K92" s="111"/>
      <x:c r="L92" s="111"/>
      <x:c r="M92" s="111"/>
      <x:c r="N92" s="111"/>
    </x:row>
    <x:row r="93">
      <x:c r="A93" s="112"/>
      <x:c r="B93" s="115"/>
      <x:c r="C93" s="115"/>
      <x:c r="D93" s="115"/>
      <x:c r="E93" s="115"/>
      <x:c r="F93" s="45" t="str">
        <x:f>IF(A93="","",B93-C93+D93-E93)</x:f>
      </x:c>
      <x:c r="G93" s="115"/>
      <x:c r="H93" s="45" t="str">
        <x:f>IF(A93="","",F93+G93)</x:f>
      </x:c>
      <x:c r="I93" s="45" t="str">
        <x:f>IF(H93="","",MAX($H$5:H93))</x:f>
      </x:c>
      <x:c r="J93" s="49" t="str">
        <x:f>IF(H93="","",H93/I93-1)</x:f>
      </x:c>
      <x:c r="K93" s="111"/>
      <x:c r="L93" s="111"/>
      <x:c r="M93" s="111"/>
      <x:c r="N93" s="111"/>
    </x:row>
    <x:row r="94">
      <x:c r="A94" s="112"/>
      <x:c r="B94" s="115"/>
      <x:c r="C94" s="115"/>
      <x:c r="D94" s="115"/>
      <x:c r="E94" s="115"/>
      <x:c r="F94" s="45" t="str">
        <x:f>IF(A94="","",B94-C94+D94-E94)</x:f>
      </x:c>
      <x:c r="G94" s="115"/>
      <x:c r="H94" s="45" t="str">
        <x:f>IF(A94="","",F94+G94)</x:f>
      </x:c>
      <x:c r="I94" s="45" t="str">
        <x:f>IF(H94="","",MAX($H$5:H94))</x:f>
      </x:c>
      <x:c r="J94" s="49" t="str">
        <x:f>IF(H94="","",H94/I94-1)</x:f>
      </x:c>
      <x:c r="K94" s="111"/>
      <x:c r="L94" s="111"/>
      <x:c r="M94" s="111"/>
      <x:c r="N94" s="111"/>
    </x:row>
    <x:row r="95">
      <x:c r="A95" s="112"/>
      <x:c r="B95" s="115"/>
      <x:c r="C95" s="115"/>
      <x:c r="D95" s="115"/>
      <x:c r="E95" s="115"/>
      <x:c r="F95" s="45" t="str">
        <x:f>IF(A95="","",B95-C95+D95-E95)</x:f>
      </x:c>
      <x:c r="G95" s="115"/>
      <x:c r="H95" s="45" t="str">
        <x:f>IF(A95="","",F95+G95)</x:f>
      </x:c>
      <x:c r="I95" s="45" t="str">
        <x:f>IF(H95="","",MAX($H$5:H95))</x:f>
      </x:c>
      <x:c r="J95" s="49" t="str">
        <x:f>IF(H95="","",H95/I95-1)</x:f>
      </x:c>
      <x:c r="K95" s="111"/>
      <x:c r="L95" s="111"/>
      <x:c r="M95" s="111"/>
      <x:c r="N95" s="111"/>
    </x:row>
    <x:row r="96">
      <x:c r="A96" s="112"/>
      <x:c r="B96" s="115"/>
      <x:c r="C96" s="115"/>
      <x:c r="D96" s="115"/>
      <x:c r="E96" s="115"/>
      <x:c r="F96" s="45" t="str">
        <x:f>IF(A96="","",B96-C96+D96-E96)</x:f>
      </x:c>
      <x:c r="G96" s="115"/>
      <x:c r="H96" s="45" t="str">
        <x:f>IF(A96="","",F96+G96)</x:f>
      </x:c>
      <x:c r="I96" s="45" t="str">
        <x:f>IF(H96="","",MAX($H$5:H96))</x:f>
      </x:c>
      <x:c r="J96" s="49" t="str">
        <x:f>IF(H96="","",H96/I96-1)</x:f>
      </x:c>
      <x:c r="K96" s="111"/>
      <x:c r="L96" s="111"/>
      <x:c r="M96" s="111"/>
      <x:c r="N96" s="111"/>
    </x:row>
    <x:row r="97">
      <x:c r="A97" s="112"/>
      <x:c r="B97" s="115"/>
      <x:c r="C97" s="115"/>
      <x:c r="D97" s="115"/>
      <x:c r="E97" s="115"/>
      <x:c r="F97" s="45" t="str">
        <x:f>IF(A97="","",B97-C97+D97-E97)</x:f>
      </x:c>
      <x:c r="G97" s="115"/>
      <x:c r="H97" s="45" t="str">
        <x:f>IF(A97="","",F97+G97)</x:f>
      </x:c>
      <x:c r="I97" s="45" t="str">
        <x:f>IF(H97="","",MAX($H$5:H97))</x:f>
      </x:c>
      <x:c r="J97" s="49" t="str">
        <x:f>IF(H97="","",H97/I97-1)</x:f>
      </x:c>
      <x:c r="K97" s="111"/>
      <x:c r="L97" s="111"/>
      <x:c r="M97" s="111"/>
      <x:c r="N97" s="111"/>
    </x:row>
    <x:row r="98">
      <x:c r="A98" s="112"/>
      <x:c r="B98" s="115"/>
      <x:c r="C98" s="115"/>
      <x:c r="D98" s="115"/>
      <x:c r="E98" s="115"/>
      <x:c r="F98" s="45" t="str">
        <x:f>IF(A98="","",B98-C98+D98-E98)</x:f>
      </x:c>
      <x:c r="G98" s="115"/>
      <x:c r="H98" s="45" t="str">
        <x:f>IF(A98="","",F98+G98)</x:f>
      </x:c>
      <x:c r="I98" s="45" t="str">
        <x:f>IF(H98="","",MAX($H$5:H98))</x:f>
      </x:c>
      <x:c r="J98" s="49" t="str">
        <x:f>IF(H98="","",H98/I98-1)</x:f>
      </x:c>
      <x:c r="K98" s="111"/>
      <x:c r="L98" s="111"/>
      <x:c r="M98" s="111"/>
      <x:c r="N98" s="111"/>
    </x:row>
    <x:row r="99">
      <x:c r="A99" s="112"/>
      <x:c r="B99" s="115"/>
      <x:c r="C99" s="115"/>
      <x:c r="D99" s="115"/>
      <x:c r="E99" s="115"/>
      <x:c r="F99" s="45" t="str">
        <x:f>IF(A99="","",B99-C99+D99-E99)</x:f>
      </x:c>
      <x:c r="G99" s="115"/>
      <x:c r="H99" s="45" t="str">
        <x:f>IF(A99="","",F99+G99)</x:f>
      </x:c>
      <x:c r="I99" s="45" t="str">
        <x:f>IF(H99="","",MAX($H$5:H99))</x:f>
      </x:c>
      <x:c r="J99" s="49" t="str">
        <x:f>IF(H99="","",H99/I99-1)</x:f>
      </x:c>
      <x:c r="K99" s="111"/>
      <x:c r="L99" s="111"/>
      <x:c r="M99" s="111"/>
      <x:c r="N99" s="111"/>
    </x:row>
    <x:row r="100">
      <x:c r="A100" s="112"/>
      <x:c r="B100" s="115"/>
      <x:c r="C100" s="115"/>
      <x:c r="D100" s="115"/>
      <x:c r="E100" s="115"/>
      <x:c r="F100" s="45" t="str">
        <x:f>IF(A100="","",B100-C100+D100-E100)</x:f>
      </x:c>
      <x:c r="G100" s="115"/>
      <x:c r="H100" s="45" t="str">
        <x:f>IF(A100="","",F100+G100)</x:f>
      </x:c>
      <x:c r="I100" s="45" t="str">
        <x:f>IF(H100="","",MAX($H$5:H100))</x:f>
      </x:c>
      <x:c r="J100" s="49" t="str">
        <x:f>IF(H100="","",H100/I100-1)</x:f>
      </x:c>
      <x:c r="K100" s="111"/>
      <x:c r="L100" s="111"/>
      <x:c r="M100" s="111"/>
      <x:c r="N100" s="111"/>
    </x:row>
    <x:row r="101">
      <x:c r="A101" s="112"/>
      <x:c r="B101" s="115"/>
      <x:c r="C101" s="115"/>
      <x:c r="D101" s="115"/>
      <x:c r="E101" s="115"/>
      <x:c r="F101" s="45" t="str">
        <x:f>IF(A101="","",B101-C101+D101-E101)</x:f>
      </x:c>
      <x:c r="G101" s="115"/>
      <x:c r="H101" s="45" t="str">
        <x:f>IF(A101="","",F101+G101)</x:f>
      </x:c>
      <x:c r="I101" s="45" t="str">
        <x:f>IF(H101="","",MAX($H$5:H101))</x:f>
      </x:c>
      <x:c r="J101" s="49" t="str">
        <x:f>IF(H101="","",H101/I101-1)</x:f>
      </x:c>
      <x:c r="K101" s="111"/>
      <x:c r="L101" s="111"/>
      <x:c r="M101" s="111"/>
      <x:c r="N101" s="111"/>
    </x:row>
    <x:row r="102">
      <x:c r="A102" s="112"/>
      <x:c r="B102" s="115"/>
      <x:c r="C102" s="115"/>
      <x:c r="D102" s="115"/>
      <x:c r="E102" s="115"/>
      <x:c r="F102" s="45" t="str">
        <x:f>IF(A102="","",B102-C102+D102-E102)</x:f>
      </x:c>
      <x:c r="G102" s="115"/>
      <x:c r="H102" s="45" t="str">
        <x:f>IF(A102="","",F102+G102)</x:f>
      </x:c>
      <x:c r="I102" s="45" t="str">
        <x:f>IF(H102="","",MAX($H$5:H102))</x:f>
      </x:c>
      <x:c r="J102" s="49" t="str">
        <x:f>IF(H102="","",H102/I102-1)</x:f>
      </x:c>
      <x:c r="K102" s="111"/>
      <x:c r="L102" s="111"/>
      <x:c r="M102" s="111"/>
      <x:c r="N102" s="111"/>
    </x:row>
    <x:row r="103">
      <x:c r="A103" s="112"/>
      <x:c r="B103" s="115"/>
      <x:c r="C103" s="115"/>
      <x:c r="D103" s="115"/>
      <x:c r="E103" s="115"/>
      <x:c r="F103" s="45" t="str">
        <x:f>IF(A103="","",B103-C103+D103-E103)</x:f>
      </x:c>
      <x:c r="G103" s="115"/>
      <x:c r="H103" s="45" t="str">
        <x:f>IF(A103="","",F103+G103)</x:f>
      </x:c>
      <x:c r="I103" s="45" t="str">
        <x:f>IF(H103="","",MAX($H$5:H103))</x:f>
      </x:c>
      <x:c r="J103" s="49" t="str">
        <x:f>IF(H103="","",H103/I103-1)</x:f>
      </x:c>
      <x:c r="K103" s="111"/>
      <x:c r="L103" s="111"/>
      <x:c r="M103" s="111"/>
      <x:c r="N103" s="111"/>
    </x:row>
    <x:row r="104">
      <x:c r="A104" s="112"/>
      <x:c r="B104" s="115"/>
      <x:c r="C104" s="115"/>
      <x:c r="D104" s="115"/>
      <x:c r="E104" s="115"/>
      <x:c r="F104" s="45" t="str">
        <x:f>IF(A104="","",B104-C104+D104-E104)</x:f>
      </x:c>
      <x:c r="G104" s="115"/>
      <x:c r="H104" s="45" t="str">
        <x:f>IF(A104="","",F104+G104)</x:f>
      </x:c>
      <x:c r="I104" s="45" t="str">
        <x:f>IF(H104="","",MAX($H$5:H104))</x:f>
      </x:c>
      <x:c r="J104" s="49" t="str">
        <x:f>IF(H104="","",H104/I104-1)</x:f>
      </x:c>
      <x:c r="K104" s="111"/>
      <x:c r="L104" s="111"/>
      <x:c r="M104" s="111"/>
      <x:c r="N104" s="111"/>
    </x:row>
  </x:sheetData>
  <x:mergeCells>
    <x:mergeCell ref="A1:N1"/>
    <x:mergeCell ref="A2:N2"/>
  </x:mergeCells>
  <x:pageMargins left="0.7" right="0.7" top="0.75" bottom="0.75" header="0.3" footer="0.3"/>
</x:worksheet>
</file>

<file path=xl/worksheets/sheet1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7" hidden="0" customWidth="1"/>
    <x:col min="2" max="2" width="14" hidden="0" customWidth="1"/>
    <x:col min="3" max="3" width="14" hidden="0" customWidth="1"/>
    <x:col min="4" max="4" width="16" hidden="0" customWidth="1"/>
    <x:col min="5" max="5" width="16" hidden="0" customWidth="1"/>
    <x:col min="6" max="6" width="14" hidden="0" customWidth="1"/>
    <x:col min="7" max="7" width="13" hidden="0" customWidth="1"/>
    <x:col min="8" max="8" width="13" hidden="0" customWidth="1"/>
    <x:col min="9" max="9" width="13" hidden="0" customWidth="1"/>
    <x:col min="10" max="10" width="12" hidden="0" customWidth="1"/>
    <x:col min="11" max="11" width="11" hidden="0" customWidth="1"/>
    <x:col min="12" max="12" width="11" hidden="0" customWidth="1"/>
    <x:col min="13" max="13" width="11" hidden="0" customWidth="1"/>
    <x:col min="14" max="14" width="28" hidden="0" customWidth="1"/>
  </x:cols>
  <x:sheetData>
    <x:row r="1" ht="26" customHeight="1">
      <x:c r="A1" s="97" t="str">
        <x:v>判定ルール_v1（定性語の数値定義）</x:v>
      </x:c>
      <x:c r="B1" s="97" t="str">
        <x:v>判定ルール_v1（定性語の数値定義）</x:v>
      </x:c>
      <x:c r="C1" s="97" t="str">
        <x:v>判定ルール_v1（定性語の数値定義）</x:v>
      </x:c>
      <x:c r="D1" s="97" t="str">
        <x:v>判定ルール_v1（定性語の数値定義）</x:v>
      </x:c>
      <x:c r="E1" s="97" t="str">
        <x:v>判定ルール_v1（定性語の数値定義）</x:v>
      </x:c>
      <x:c r="F1" s="97" t="str">
        <x:v>判定ルール_v1（定性語の数値定義）</x:v>
      </x:c>
      <x:c r="G1" s="97" t="str">
        <x:v>判定ルール_v1（定性語の数値定義）</x:v>
      </x:c>
      <x:c r="H1" s="97" t="str">
        <x:v>判定ルール_v1（定性語の数値定義）</x:v>
      </x:c>
      <x:c r="I1" s="97" t="str">
        <x:v>判定ルール_v1（定性語の数値定義）</x:v>
      </x:c>
      <x:c r="J1" s="97" t="str">
        <x:v>判定ルール_v1（定性語の数値定義）</x:v>
      </x:c>
      <x:c r="K1" s="97" t="str">
        <x:v>判定ルール_v1（定性語の数値定義）</x:v>
      </x:c>
      <x:c r="L1" s="97" t="str">
        <x:v>判定ルール_v1（定性語の数値定義）</x:v>
      </x:c>
      <x:c r="M1" s="97" t="str">
        <x:v>判定ルール_v1（定性語の数値定義）</x:v>
      </x:c>
      <x:c r="N1" s="97" t="str">
        <x:v>判定ルール_v1（定性語の数値定義）</x:v>
      </x:c>
    </x:row>
    <x:row r="2">
      <x:c r="A2" t="str">
        <x:v>仕様v1のしきい値を固定。青字入力で判定式を動作確認できる。</x:v>
      </x:c>
    </x:row>
    <x:row r="4">
      <x:c r="A4" s="107" t="str">
        <x:v>用語</x:v>
      </x:c>
      <x:c r="B4" s="107" t="str">
        <x:v>入力1</x:v>
      </x:c>
      <x:c r="C4" s="107" t="str">
        <x:v>入力2</x:v>
      </x:c>
      <x:c r="D4" s="107" t="str">
        <x:v>入力3</x:v>
      </x:c>
      <x:c r="E4" s="107" t="str">
        <x:v>入力4</x:v>
      </x:c>
      <x:c r="F4" s="107" t="str">
        <x:v>入力5</x:v>
      </x:c>
      <x:c r="G4" s="107" t="str">
        <x:v>入力6</x:v>
      </x:c>
      <x:c r="H4" s="107" t="str">
        <x:v>入力7</x:v>
      </x:c>
      <x:c r="I4" s="107" t="str">
        <x:v>入力8</x:v>
      </x:c>
      <x:c r="J4" s="107" t="str">
        <x:v>判定</x:v>
      </x:c>
      <x:c r="K4" s="107" t="str">
        <x:v>閾値1</x:v>
      </x:c>
      <x:c r="L4" s="107" t="str">
        <x:v>閾値2</x:v>
      </x:c>
      <x:c r="M4" s="107" t="str">
        <x:v>閾値3</x:v>
      </x:c>
      <x:c r="N4" s="107" t="str">
        <x:v>用途</x:v>
      </x:c>
    </x:row>
    <x:row r="5">
      <x:c r="A5" s="42" t="str">
        <x:v>急騰</x:v>
      </x:c>
      <x:c r="B5" s="116" t="str">
        <x:v>当日騰落率</x:v>
      </x:c>
      <x:c r="C5" s="116" t="str">
        <x:v>3日騰落率</x:v>
      </x:c>
      <x:c r="D5" s="117" t="str">
        <x:v>出来高/20日平均</x:v>
      </x:c>
      <x:c r="E5" s="111"/>
      <x:c r="F5" s="111"/>
      <x:c r="G5" s="111"/>
      <x:c r="H5" s="111"/>
      <x:c r="I5" s="111"/>
      <x:c r="J5" s="42" t="str">
        <x:f>IF(COUNT(B5:D5)&lt;3,"",IF(AND(OR(B5&gt;=K5,C5&gt;=L5),D5&gt;=M5),"該当","非該当"))</x:f>
      </x:c>
      <x:c r="K5" s="69" t="n">
        <x:v>0.05</x:v>
      </x:c>
      <x:c r="L5" s="69" t="n">
        <x:v>0.12</x:v>
      </x:c>
      <x:c r="M5" s="70" t="n">
        <x:v>2</x:v>
      </x:c>
      <x:c r="N5" s="42" t="str">
        <x:v>買い本フラグにしない</x:v>
      </x:c>
    </x:row>
    <x:row r="6">
      <x:c r="A6" s="42" t="str">
        <x:v>押し目反発</x:v>
      </x:c>
      <x:c r="B6" s="111" t="str">
        <x:v>25日線</x:v>
      </x:c>
      <x:c r="C6" s="111" t="str">
        <x:v>前日25日線</x:v>
      </x:c>
      <x:c r="D6" s="116" t="str">
        <x:v>終値/25日線-1</x:v>
      </x:c>
      <x:c r="E6" s="116" t="str">
        <x:v>高値からの調整率</x:v>
      </x:c>
      <x:c r="F6" s="111" t="str">
        <x:v>反発確認(1/0)</x:v>
      </x:c>
      <x:c r="G6" s="111"/>
      <x:c r="H6" s="111"/>
      <x:c r="I6" s="111"/>
      <x:c r="J6" s="42" t="str">
        <x:f>IF(COUNT(B6:F6)&lt;5,"",IF(AND(B6&gt;C6,D6&gt;=K6,E6&lt;=K6,E6&gt;=L6,F6=M6),"該当","非該当"))</x:f>
      </x:c>
      <x:c r="K6" s="69" t="n">
        <x:v>-0.03</x:v>
      </x:c>
      <x:c r="L6" s="69" t="n">
        <x:v>-0.08</x:v>
      </x:c>
      <x:c r="M6" s="42" t="n">
        <x:v>1</x:v>
      </x:c>
      <x:c r="N6" s="42" t="str">
        <x:v>買い候補</x:v>
      </x:c>
    </x:row>
    <x:row r="7">
      <x:c r="A7" s="42" t="str">
        <x:v>上抜け定着</x:v>
      </x:c>
      <x:c r="B7" s="111" t="str">
        <x:v>節目</x:v>
      </x:c>
      <x:c r="C7" s="111" t="str">
        <x:v>当日終値</x:v>
      </x:c>
      <x:c r="D7" s="111" t="str">
        <x:v>翌日終値</x:v>
      </x:c>
      <x:c r="E7" s="111"/>
      <x:c r="F7" s="111"/>
      <x:c r="G7" s="111"/>
      <x:c r="H7" s="111"/>
      <x:c r="I7" s="111"/>
      <x:c r="J7" s="42" t="str">
        <x:f>IF(COUNT(B7:D7)&lt;3,"",IF(AND(C7&gt;B7,D7&gt;=B7),"該当","非該当"))</x:f>
      </x:c>
      <x:c r="K7" s="42" t="n">
        <x:v>2</x:v>
      </x:c>
      <x:c r="L7" s="42"/>
      <x:c r="M7" s="42"/>
      <x:c r="N7" s="42" t="str">
        <x:v>2営業日連続で維持</x:v>
      </x:c>
    </x:row>
    <x:row r="8">
      <x:c r="A8" s="42" t="str">
        <x:v>長い上ヒゲ</x:v>
      </x:c>
      <x:c r="B8" s="111" t="str">
        <x:v>始値</x:v>
      </x:c>
      <x:c r="C8" s="111" t="str">
        <x:v>高値</x:v>
      </x:c>
      <x:c r="D8" s="111" t="str">
        <x:v>安値</x:v>
      </x:c>
      <x:c r="E8" s="111" t="str">
        <x:v>終値</x:v>
      </x:c>
      <x:c r="F8" s="111"/>
      <x:c r="G8" s="111"/>
      <x:c r="H8" s="111"/>
      <x:c r="I8" s="111"/>
      <x:c r="J8" s="42" t="str">
        <x:f>IF(COUNT(B8:E8)&lt;4,"",IF(AND((C8-MAX(B8,E8))/(C8-D8)&gt;=K8,ABS(E8-B8)/(C8-D8)&lt;=L8,E8&lt;=D8+(C8-D8)*M8),"該当","非該当"))</x:f>
      </x:c>
      <x:c r="K8" s="69" t="n">
        <x:v>0.5</x:v>
      </x:c>
      <x:c r="L8" s="69" t="n">
        <x:v>0.3333333333333333</x:v>
      </x:c>
      <x:c r="M8" s="69" t="n">
        <x:v>0.3333333333333333</x:v>
      </x:c>
      <x:c r="N8" s="42" t="str">
        <x:v>利確・見送り優先</x:v>
      </x:c>
    </x:row>
    <x:row r="10">
      <x:c r="A10" s="52" t="str">
        <x:v>押し目反発の反発確認=1：陽線で前日高値超え、または下ヒゲ陽線で前日安値を割らず引け。</x:v>
      </x:c>
      <x:c r="B10" s="52"/>
      <x:c r="C10" s="52"/>
      <x:c r="D10" s="52"/>
      <x:c r="E10" s="52"/>
      <x:c r="F10" s="52"/>
      <x:c r="G10" s="52"/>
      <x:c r="H10" s="52"/>
      <x:c r="I10" s="52"/>
      <x:c r="J10" s="52"/>
      <x:c r="K10" s="52"/>
      <x:c r="L10" s="52"/>
      <x:c r="M10" s="52"/>
      <x:c r="N10" s="52"/>
    </x:row>
    <x:row r="11">
      <x:c r="A11" s="52" t="str">
        <x:v>押し目反発は25日線が上向き、終値が25日線-3%以上、直近高値から-3〜-8%調整したものとする。</x:v>
      </x:c>
      <x:c r="B11" s="52"/>
      <x:c r="C11" s="52"/>
      <x:c r="D11" s="52"/>
      <x:c r="E11" s="52"/>
      <x:c r="F11" s="52"/>
      <x:c r="G11" s="52"/>
      <x:c r="H11" s="52"/>
      <x:c r="I11" s="52"/>
      <x:c r="J11" s="52"/>
      <x:c r="K11" s="52"/>
      <x:c r="L11" s="52"/>
      <x:c r="M11" s="52"/>
      <x:c r="N11" s="52"/>
    </x:row>
    <x:row r="12">
      <x:c r="A12" s="52" t="str">
        <x:v>急騰は（当日+5%以上 OR 3日合計+12%以上）AND 出来高20日平均比2倍以上。</x:v>
      </x:c>
      <x:c r="B12" s="52"/>
      <x:c r="C12" s="52"/>
      <x:c r="D12" s="52"/>
      <x:c r="E12" s="52"/>
      <x:c r="F12" s="52"/>
      <x:c r="G12" s="52"/>
      <x:c r="H12" s="52"/>
      <x:c r="I12" s="52"/>
      <x:c r="J12" s="52"/>
      <x:c r="K12" s="52"/>
      <x:c r="L12" s="52"/>
      <x:c r="M12" s="52"/>
      <x:c r="N12" s="52"/>
    </x:row>
    <x:row r="13">
      <x:c r="A13" s="52" t="str">
        <x:v>上抜け定着は当日終値が節目超え、翌営業日終値も節目以上。発注はその次の営業日始値。</x:v>
      </x:c>
      <x:c r="B13" s="52"/>
      <x:c r="C13" s="52"/>
      <x:c r="D13" s="52"/>
      <x:c r="E13" s="52"/>
      <x:c r="F13" s="52"/>
      <x:c r="G13" s="52"/>
      <x:c r="H13" s="52"/>
      <x:c r="I13" s="52"/>
      <x:c r="J13" s="52"/>
      <x:c r="K13" s="52"/>
      <x:c r="L13" s="52"/>
      <x:c r="M13" s="52"/>
      <x:c r="N13" s="52"/>
    </x:row>
    <x:row r="14">
      <x:c r="A14" s="52" t="str">
        <x:v>同日の利確/損切り両到達は、時系列不明なら損切り優先で記録。</x:v>
      </x:c>
      <x:c r="B14" s="52"/>
      <x:c r="C14" s="52"/>
      <x:c r="D14" s="52"/>
      <x:c r="E14" s="52"/>
      <x:c r="F14" s="52"/>
      <x:c r="G14" s="52"/>
      <x:c r="H14" s="52"/>
      <x:c r="I14" s="52"/>
      <x:c r="J14" s="52"/>
      <x:c r="K14" s="52"/>
      <x:c r="L14" s="52"/>
      <x:c r="M14" s="52"/>
      <x:c r="N14" s="52"/>
    </x:row>
  </x:sheetData>
  <x:mergeCells>
    <x:mergeCell ref="A1:N1"/>
    <x:mergeCell ref="A2:N2"/>
    <x:mergeCell ref="A10:N10"/>
    <x:mergeCell ref="A11:N11"/>
    <x:mergeCell ref="A12:N12"/>
    <x:mergeCell ref="A13:N13"/>
    <x:mergeCell ref="A14:N14"/>
  </x:mergeCells>
  <x:pageMargins left="0.7" right="0.7" top="0.75" bottom="0.75" header="0.3" footer="0.3"/>
</x:worksheet>
</file>
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4e5819cd4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8faf782944f4997"/>
    <x:sheet xmlns:r="http://schemas.openxmlformats.org/officeDocument/2006/relationships" name="5 Models" sheetId="2" r:id="Rcd935a9031bc4ef8"/>
    <x:sheet xmlns:r="http://schemas.openxmlformats.org/officeDocument/2006/relationships" name="Capital Plan" sheetId="3" r:id="Rb485dba913084332"/>
    <x:sheet xmlns:r="http://schemas.openxmlformats.org/officeDocument/2006/relationships" name="Watchlist" sheetId="4" r:id="R68ddc9d91a7543d7"/>
    <x:sheet xmlns:r="http://schemas.openxmlformats.org/officeDocument/2006/relationships" name="Trade Log" sheetId="5" r:id="R31dee0798e8a417b"/>
    <x:sheet xmlns:r="http://schemas.openxmlformats.org/officeDocument/2006/relationships" name="Weekly Review" sheetId="6" r:id="R77475231775f4fbc"/>
    <x:sheet xmlns:r="http://schemas.openxmlformats.org/officeDocument/2006/relationships" name="Candidate Selection" sheetId="7" r:id="R91fd0767e07140e9"/>
    <x:sheet xmlns:r="http://schemas.openxmlformats.org/officeDocument/2006/relationships" name="Search Template" sheetId="8" r:id="R36c16f20c34f45d7"/>
    <x:sheet xmlns:r="http://schemas.openxmlformats.org/officeDocument/2006/relationships" name="AI Prompts" sheetId="9" r:id="Rd778e0d8f49e46d1"/>
    <x:sheet xmlns:r="http://schemas.openxmlformats.org/officeDocument/2006/relationships" name="Rules" sheetId="10" r:id="R90a3306638ef45f0"/>
    <x:sheet xmlns:r="http://schemas.openxmlformats.org/officeDocument/2006/relationships" name="Checks" sheetId="11" r:id="R688615d5d50b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11827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11827"/>
      <x:name val="Aptos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1182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FFF7E6"/>
      </x:patternFill>
    </x:fill>
    <x:fill>
      <x:patternFill patternType="solid">
        <x:fgColor rgb="FFF59E0B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2" fillId="6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/>
    </x:xf>
    <x:xf numFmtId="0" fontId="8" fillId="4" borderId="0" xfId="0" applyNumberFormat="1" applyFont="1" applyFill="1" applyBorder="1"/>
    <x:xf numFmtId="0" fontId="9" fillId="3" borderId="0" xfId="0" applyNumberFormat="1" applyFont="1" applyFill="1" applyBorder="1"/>
    <x:xf numFmtId="0" fontId="8" fillId="6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top"/>
    </x:xf>
    <x:xf numFmtId="0" fontId="11" fillId="5" borderId="0" xfId="0" applyNumberFormat="1" applyFont="1" applyFill="1" applyBorder="1" applyAlignment="1">
      <x:alignment vertical="top"/>
    </x:xf>
    <x:xf numFmtId="0" fontId="10" fillId="4" borderId="0" xfId="0" applyNumberFormat="1" applyFont="1" applyFill="1" applyBorder="1"/>
    <x:xf numFmtId="0" fontId="12" fillId="3" borderId="0" xfId="0" applyNumberFormat="1" applyFont="1" applyFill="1" applyBorder="1"/>
    <x:xf numFmtId="0" fontId="10" fillId="6" borderId="0" xfId="0" applyNumberFormat="1" applyFont="1" applyFill="1" applyBorder="1"/>
    <x:xf numFmtId="0" fontId="9" fillId="3" borderId="0" xfId="0" applyNumberFormat="1" applyFont="1" applyFill="1" applyBorder="1" applyAlignment="1">
      <x:alignment vertical="top"/>
    </x:xf>
    <x:xf numFmtId="0" fontId="12" fillId="3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9919d06f5b429d" /><Relationship Type="http://schemas.openxmlformats.org/officeDocument/2006/relationships/theme" Target="/xl/theme/theme1.xml" Id="R79941728aeb34d95" /><Relationship Type="http://schemas.openxmlformats.org/officeDocument/2006/relationships/sharedStrings" Target="/xl/sharedStrings.xml" Id="R5fdaea28c96f472e" /><Relationship Type="http://schemas.openxmlformats.org/officeDocument/2006/relationships/worksheet" Target="/xl/worksheets/sheet1.xml" Id="Ra8faf782944f4997" /><Relationship Type="http://schemas.openxmlformats.org/officeDocument/2006/relationships/worksheet" Target="/xl/worksheets/sheet2.xml" Id="Rcd935a9031bc4ef8" /><Relationship Type="http://schemas.openxmlformats.org/officeDocument/2006/relationships/worksheet" Target="/xl/worksheets/sheet3.xml" Id="Rb485dba913084332" /><Relationship Type="http://schemas.openxmlformats.org/officeDocument/2006/relationships/worksheet" Target="/xl/worksheets/sheet4.xml" Id="R68ddc9d91a7543d7" /><Relationship Type="http://schemas.openxmlformats.org/officeDocument/2006/relationships/worksheet" Target="/xl/worksheets/sheet5.xml" Id="R31dee0798e8a417b" /><Relationship Type="http://schemas.openxmlformats.org/officeDocument/2006/relationships/worksheet" Target="/xl/worksheets/sheet6.xml" Id="R77475231775f4fbc" /><Relationship Type="http://schemas.openxmlformats.org/officeDocument/2006/relationships/worksheet" Target="/xl/worksheets/sheet7.xml" Id="R91fd0767e07140e9" /><Relationship Type="http://schemas.openxmlformats.org/officeDocument/2006/relationships/worksheet" Target="/xl/worksheets/sheet8.xml" Id="R36c16f20c34f45d7" /><Relationship Type="http://schemas.openxmlformats.org/officeDocument/2006/relationships/worksheet" Target="/xl/worksheets/sheet9.xml" Id="Rd778e0d8f49e46d1" /><Relationship Type="http://schemas.openxmlformats.org/officeDocument/2006/relationships/worksheet" Target="/xl/worksheets/sheet10.xml" Id="R90a3306638ef45f0" /><Relationship Type="http://schemas.openxmlformats.org/officeDocument/2006/relationships/worksheet" Target="/xl/worksheets/sheet11.xml" Id="R688615d5d50b43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fcdddbc49a44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モデル別 平均損益率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平均損益率</c:v>
          </c:tx>
          <c:cat>
            <c:strRef>
              <c:f>'Dashboard'!$N$5:$N$9</c:f>
              <c:strCache>
                <c:ptCount val="0"/>
              </c:strCache>
            </c:strRef>
          </c:cat>
          <c:val>
            <c:numRef>
              <c:f>'Dashboard'!$O$5:$O$9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10</xdr:row>
      <xdr:rowOff>0</xdr:rowOff>
    </xdr:from>
    <xdr:ext cx="5143500" cy="238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fcdddbc49a440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433d3e793f94ca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" hidden="0" customWidth="1"/>
    <x:col min="4" max="4" width="10" hidden="0" customWidth="1"/>
    <x:col min="5" max="5" width="24" hidden="0" customWidth="1"/>
    <x:col min="6" max="6" width="10" hidden="0" customWidth="1"/>
    <x:col min="7" max="7" width="10" hidden="0" customWidth="1"/>
    <x:col min="8" max="8" width="13" hidden="0" customWidth="1"/>
    <x:col min="9" max="9" width="10" hidden="0" customWidth="1"/>
    <x:col min="10" max="10" width="12" hidden="0" customWidth="1"/>
    <x:col min="11" max="11" width="12" hidden="0" customWidth="1"/>
    <x:col min="12" max="12" width="34" hidden="0" customWidth="1"/>
    <x:col min="13" max="13" width="3" hidden="0" customWidth="1"/>
    <x:col min="14" max="14" width="8" hidden="0" customWidth="1"/>
    <x:col min="15" max="15" width="12" hidden="0" customWidth="1"/>
  </x:cols>
  <x:sheetData>
    <x:row r="1">
      <x:c r="A1" s="26" t="str">
        <x:v>5モデル 1ヶ月シミュレーション Dashboard</x:v>
      </x:c>
      <x:c r="B1" s="26" t="str">
        <x:v>5モデル 1ヶ月シミュレーション Dashboard</x:v>
      </x:c>
      <x:c r="C1" s="26" t="str">
        <x:v>5モデル 1ヶ月シミュレーション Dashboard</x:v>
      </x:c>
      <x:c r="D1" s="26" t="str">
        <x:v>5モデル 1ヶ月シミュレーション Dashboard</x:v>
      </x:c>
      <x:c r="E1" s="26" t="str">
        <x:v>5モデル 1ヶ月シミュレーション Dashboard</x:v>
      </x:c>
      <x:c r="F1" s="26" t="str">
        <x:v>5モデル 1ヶ月シミュレーション Dashboard</x:v>
      </x:c>
      <x:c r="G1" s="26" t="str">
        <x:v>5モデル 1ヶ月シミュレーション Dashboard</x:v>
      </x:c>
      <x:c r="H1" s="26" t="str">
        <x:v>5モデル 1ヶ月シミュレーション Dashboard</x:v>
      </x:c>
      <x:c r="I1" s="26" t="str">
        <x:v>5モデル 1ヶ月シミュレーション Dashboard</x:v>
      </x:c>
      <x:c r="J1" s="26" t="str">
        <x:v>5モデル 1ヶ月シミュレーション Dashboard</x:v>
      </x:c>
      <x:c r="K1" s="26" t="str">
        <x:v>5モデル 1ヶ月シミュレーション Dashboard</x:v>
      </x:c>
      <x:c r="L1" s="26" t="str">
        <x:v>5モデル 1ヶ月シミュレーション Dashboard</x:v>
      </x:c>
      <x:c r="M1" s="27"/>
      <x:c r="N1" s="27"/>
      <x:c r="O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3">
      <x:c r="A3" s="28" t="str">
        <x:v>開始日</x:v>
      </x:c>
      <x:c r="B3" s="29" t="n">
        <x:v>46187</x:v>
      </x:c>
      <x:c r="C3" s="27"/>
      <x:c r="D3" s="30" t="str">
        <x:v>モデル別サマリー</x:v>
      </x:c>
      <x:c r="E3" s="30" t="str">
        <x:v>モデル別サマリー</x:v>
      </x:c>
      <x:c r="F3" s="30" t="str">
        <x:v>モデル別サマリー</x:v>
      </x:c>
      <x:c r="G3" s="30" t="str">
        <x:v>モデル別サマリー</x:v>
      </x:c>
      <x:c r="H3" s="30" t="str">
        <x:v>モデル別サマリー</x:v>
      </x:c>
      <x:c r="I3" s="30" t="str">
        <x:v>モデル別サマリー</x:v>
      </x:c>
      <x:c r="J3" s="30" t="str">
        <x:v>モデル別サマリー</x:v>
      </x:c>
      <x:c r="K3" s="30" t="str">
        <x:v>モデル別サマリー</x:v>
      </x:c>
      <x:c r="L3" s="30" t="str">
        <x:v>モデル別サマリー</x:v>
      </x:c>
      <x:c r="M3" s="27"/>
      <x:c r="N3" s="27"/>
      <x:c r="O3" s="27"/>
    </x:row>
    <x:row r="4">
      <x:c r="A4" s="28" t="str">
        <x:v>対象期間</x:v>
      </x:c>
      <x:c r="B4" s="29" t="str">
        <x:v>4週間</x:v>
      </x:c>
      <x:c r="C4" s="27"/>
      <x:c r="D4" s="31" t="str">
        <x:v>Model ID</x:v>
      </x:c>
      <x:c r="E4" s="31" t="str">
        <x:v>モデル名</x:v>
      </x:c>
      <x:c r="F4" s="31" t="str">
        <x:v>候補数</x:v>
      </x:c>
      <x:c r="G4" s="31" t="str">
        <x:v>完了数</x:v>
      </x:c>
      <x:c r="H4" s="31" t="str">
        <x:v>平均損益率</x:v>
      </x:c>
      <x:c r="I4" s="31" t="str">
        <x:v>勝率</x:v>
      </x:c>
      <x:c r="J4" s="31" t="str">
        <x:v>ルール逸脱</x:v>
      </x:c>
      <x:c r="K4" s="31" t="str">
        <x:v>状態</x:v>
      </x:c>
      <x:c r="L4" s="31" t="str">
        <x:v>コメント</x:v>
      </x:c>
      <x:c r="M4" s="27"/>
      <x:c r="N4" s="27" t="str">
        <x:v>Model</x:v>
      </x:c>
      <x:c r="O4" s="27" t="str">
        <x:v>平均損益率</x:v>
      </x:c>
    </x:row>
    <x:row r="5">
      <x:c r="A5" s="28" t="str">
        <x:v>実売買</x:v>
      </x:c>
      <x:c r="B5" s="29" t="str">
        <x:v>なし（模擬運用）</x:v>
      </x:c>
      <x:c r="C5" s="27"/>
      <x:c r="D5" s="28" t="str">
        <x:v>M1</x:v>
      </x:c>
      <x:c r="E5" s="28" t="str">
        <x:v>トレンドフォロー</x:v>
      </x:c>
      <x:c r="F5" s="28" t="n">
        <x:f>COUNTIF('Trade Log'!C:C,D5)</x:f>
        <x:v>1</x:v>
      </x:c>
      <x:c r="G5" s="28" t="n">
        <x:f>COUNTIFS('Trade Log'!C:C,D5,'Trade Log'!M:M,"&lt;&gt;")</x:f>
        <x:v>0</x:v>
      </x:c>
      <x:c r="H5" s="28" t="str">
        <x:f>IFERROR(AVERAGEIFS('Trade Log'!N:N,'Trade Log'!C:C,D5),"")</x:f>
      </x:c>
      <x:c r="I5" s="28" t="str">
        <x:f>IF(G5=0,"",COUNTIFS('Trade Log'!C:C,D5,'Trade Log'!N:N,"&gt;0")/G5)</x:f>
      </x:c>
      <x:c r="J5" s="28" t="n">
        <x:f>COUNTIFS('Trade Log'!C:C,D5,'Trade Log'!R:R,"&lt;&gt;なし",'Trade Log'!R:R,"&lt;&gt;")</x:f>
        <x:v>0</x:v>
      </x:c>
      <x:c r="K5" s="28" t="str">
        <x:f>IF(F5=0,"未入力",IF(J5&gt;0,"要確認","観察中"))</x:f>
        <x:v>観察中</x:v>
      </x:c>
      <x:c r="L5" s="28" t="str"/>
      <x:c r="M5" s="27"/>
      <x:c r="N5" s="27" t="str">
        <x:v>M1</x:v>
      </x:c>
      <x:c r="O5" s="27" t="str">
        <x:f>H5</x:f>
      </x:c>
    </x:row>
    <x:row r="6">
      <x:c r="A6" s="28" t="str">
        <x:v>資金前提</x:v>
      </x:c>
      <x:c r="B6" s="29" t="str">
        <x:v>100万円。初回投入は約58万円、約42万円を温存</x:v>
      </x:c>
      <x:c r="C6" s="27"/>
      <x:c r="D6" s="28" t="str">
        <x:v>M2</x:v>
      </x:c>
      <x:c r="E6" s="28" t="str">
        <x:v>決算モメンタム</x:v>
      </x:c>
      <x:c r="F6" s="28" t="n">
        <x:f>COUNTIF('Trade Log'!C:C,D6)</x:f>
        <x:v>0</x:v>
      </x:c>
      <x:c r="G6" s="28" t="n">
        <x:f>COUNTIFS('Trade Log'!C:C,D6,'Trade Log'!M:M,"&lt;&gt;")</x:f>
        <x:v>0</x:v>
      </x:c>
      <x:c r="H6" s="28" t="str">
        <x:f>IFERROR(AVERAGEIFS('Trade Log'!N:N,'Trade Log'!C:C,D6),"")</x:f>
      </x:c>
      <x:c r="I6" s="28" t="str">
        <x:f>IF(G6=0,"",COUNTIFS('Trade Log'!C:C,D6,'Trade Log'!N:N,"&gt;0")/G6)</x:f>
      </x:c>
      <x:c r="J6" s="28" t="n">
        <x:f>COUNTIFS('Trade Log'!C:C,D6,'Trade Log'!R:R,"&lt;&gt;なし",'Trade Log'!R:R,"&lt;&gt;")</x:f>
        <x:v>0</x:v>
      </x:c>
      <x:c r="K6" s="28" t="str">
        <x:f>IF(F6=0,"未入力",IF(J6&gt;0,"要確認","観察中"))</x:f>
        <x:v>未入力</x:v>
      </x:c>
      <x:c r="L6" s="28" t="str"/>
      <x:c r="M6" s="27"/>
      <x:c r="N6" s="27" t="str">
        <x:v>M2</x:v>
      </x:c>
      <x:c r="O6" s="27" t="str">
        <x:f>H6</x:f>
      </x:c>
    </x:row>
    <x:row r="7">
      <x:c r="A7" s="28" t="str">
        <x:v>最重要ルール</x:v>
      </x:c>
      <x:c r="B7" s="29" t="str">
        <x:v>上限一杯に投資せず、損切りとポジションサイズを先に決める</x:v>
      </x:c>
      <x:c r="C7" s="27"/>
      <x:c r="D7" s="28" t="str">
        <x:v>M3</x:v>
      </x:c>
      <x:c r="E7" s="28" t="str">
        <x:v>ETFコア＋個別株サテライト</x:v>
      </x:c>
      <x:c r="F7" s="28" t="n">
        <x:f>COUNTIF('Trade Log'!C:C,D7)</x:f>
        <x:v>0</x:v>
      </x:c>
      <x:c r="G7" s="28" t="n">
        <x:f>COUNTIFS('Trade Log'!C:C,D7,'Trade Log'!M:M,"&lt;&gt;")</x:f>
        <x:v>0</x:v>
      </x:c>
      <x:c r="H7" s="28" t="str">
        <x:f>IFERROR(AVERAGEIFS('Trade Log'!N:N,'Trade Log'!C:C,D7),"")</x:f>
      </x:c>
      <x:c r="I7" s="28" t="str">
        <x:f>IF(G7=0,"",COUNTIFS('Trade Log'!C:C,D7,'Trade Log'!N:N,"&gt;0")/G7)</x:f>
      </x:c>
      <x:c r="J7" s="28" t="n">
        <x:f>COUNTIFS('Trade Log'!C:C,D7,'Trade Log'!R:R,"&lt;&gt;なし",'Trade Log'!R:R,"&lt;&gt;")</x:f>
        <x:v>0</x:v>
      </x:c>
      <x:c r="K7" s="28" t="str">
        <x:f>IF(F7=0,"未入力",IF(J7&gt;0,"要確認","観察中"))</x:f>
        <x:v>未入力</x:v>
      </x:c>
      <x:c r="L7" s="28" t="str"/>
      <x:c r="M7" s="27"/>
      <x:c r="N7" s="27" t="str">
        <x:v>M3</x:v>
      </x:c>
      <x:c r="O7" s="27" t="str">
        <x:f>H7</x:f>
      </x:c>
    </x:row>
    <x:row r="8">
      <x:c r="A8" s="28" t="str">
        <x:v>次の作業</x:v>
      </x:c>
      <x:c r="B8" s="29" t="str">
        <x:v>検索依頼時に最新データを取り、このチャット上で再シミュレーション</x:v>
      </x:c>
      <x:c r="C8" s="27"/>
      <x:c r="D8" s="28" t="str">
        <x:v>M4</x:v>
      </x:c>
      <x:c r="E8" s="28" t="str">
        <x:v>ニュース確認型モメンタム</x:v>
      </x:c>
      <x:c r="F8" s="28" t="n">
        <x:f>COUNTIF('Trade Log'!C:C,D8)</x:f>
        <x:v>0</x:v>
      </x:c>
      <x:c r="G8" s="28" t="n">
        <x:f>COUNTIFS('Trade Log'!C:C,D8,'Trade Log'!M:M,"&lt;&gt;")</x:f>
        <x:v>0</x:v>
      </x:c>
      <x:c r="H8" s="28" t="str">
        <x:f>IFERROR(AVERAGEIFS('Trade Log'!N:N,'Trade Log'!C:C,D8),"")</x:f>
      </x:c>
      <x:c r="I8" s="28" t="str">
        <x:f>IF(G8=0,"",COUNTIFS('Trade Log'!C:C,D8,'Trade Log'!N:N,"&gt;0")/G8)</x:f>
      </x:c>
      <x:c r="J8" s="28" t="n">
        <x:f>COUNTIFS('Trade Log'!C:C,D8,'Trade Log'!R:R,"&lt;&gt;なし",'Trade Log'!R:R,"&lt;&gt;")</x:f>
        <x:v>0</x:v>
      </x:c>
      <x:c r="K8" s="28" t="str">
        <x:f>IF(F8=0,"未入力",IF(J8&gt;0,"要確認","観察中"))</x:f>
        <x:v>未入力</x:v>
      </x:c>
      <x:c r="L8" s="28" t="str"/>
      <x:c r="M8" s="27"/>
      <x:c r="N8" s="27" t="str">
        <x:v>M4</x:v>
      </x:c>
      <x:c r="O8" s="27" t="str">
        <x:f>H8</x:f>
      </x:c>
    </x:row>
    <x:row r="9">
      <x:c r="A9" s="27"/>
      <x:c r="B9" s="27"/>
      <x:c r="C9" s="27"/>
      <x:c r="D9" s="28" t="str">
        <x:v>M5</x:v>
      </x:c>
      <x:c r="E9" s="28" t="str">
        <x:v>リスク最小・高流動性リバランス</x:v>
      </x:c>
      <x:c r="F9" s="28" t="n">
        <x:f>COUNTIF('Trade Log'!C:C,D9)</x:f>
        <x:v>2</x:v>
      </x:c>
      <x:c r="G9" s="28" t="n">
        <x:f>COUNTIFS('Trade Log'!C:C,D9,'Trade Log'!M:M,"&lt;&gt;")</x:f>
        <x:v>0</x:v>
      </x:c>
      <x:c r="H9" s="28" t="str">
        <x:f>IFERROR(AVERAGEIFS('Trade Log'!N:N,'Trade Log'!C:C,D9),"")</x:f>
      </x:c>
      <x:c r="I9" s="28" t="str">
        <x:f>IF(G9=0,"",COUNTIFS('Trade Log'!C:C,D9,'Trade Log'!N:N,"&gt;0")/G9)</x:f>
      </x:c>
      <x:c r="J9" s="28" t="n">
        <x:f>COUNTIFS('Trade Log'!C:C,D9,'Trade Log'!R:R,"&lt;&gt;なし",'Trade Log'!R:R,"&lt;&gt;")</x:f>
        <x:v>0</x:v>
      </x:c>
      <x:c r="K9" s="28" t="str">
        <x:f>IF(F9=0,"未入力",IF(J9&gt;0,"要確認","観察中"))</x:f>
        <x:v>観察中</x:v>
      </x:c>
      <x:c r="L9" s="28" t="str"/>
      <x:c r="M9" s="27"/>
      <x:c r="N9" s="27" t="str">
        <x:v>M5</x:v>
      </x:c>
      <x:c r="O9" s="27" t="n">
        <x:f>H9</x:f>
        <x:v>0</x:v>
      </x:c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</x:row>
    <x:row r="11">
      <x:c r="A11" s="32" t="str">
        <x:v>現在の実行案</x:v>
      </x:c>
      <x:c r="B11" s="32" t="str">
        <x:v>現在の実行案</x:v>
      </x:c>
      <x:c r="C11" s="32" t="str">
        <x:v>現在の実行案</x:v>
      </x:c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</x:row>
    <x:row r="12">
      <x:c r="A12" s="28" t="str">
        <x:v>初回候補</x:v>
      </x:c>
      <x:c r="B12" s="28" t="str">
        <x:v>8306 三菱UFJ FG</x:v>
      </x:c>
      <x:c r="C12" s="28" t="str">
        <x:v>100株</x:v>
      </x:c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</x:row>
    <x:row r="13">
      <x:c r="A13" s="28" t="str">
        <x:v>初回候補</x:v>
      </x:c>
      <x:c r="B13" s="28" t="str">
        <x:v>9433 KDDI</x:v>
      </x:c>
      <x:c r="C13" s="28" t="str">
        <x:v>100株</x:v>
      </x:c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</x:row>
    <x:row r="14">
      <x:c r="A14" s="28" t="str">
        <x:v>押し目待ち</x:v>
      </x:c>
      <x:c r="B14" s="28" t="str">
        <x:v>8035 東京エレクトロン</x:v>
      </x:c>
      <x:c r="C14" s="28" t="str">
        <x:v>S株1〜2株</x:v>
      </x:c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</x:row>
    <x:row r="15">
      <x:c r="A15" s="28" t="str">
        <x:v>初回投入</x:v>
      </x:c>
      <x:c r="B15" s="28" t="str">
        <x:v>約583,000円</x:v>
      </x:c>
      <x:c r="C15" s="28" t="str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</x:row>
    <x:row r="16">
      <x:c r="A16" s="28" t="str">
        <x:v>温存資金</x:v>
      </x:c>
      <x:c r="B16" s="28" t="str">
        <x:v>約417,000円</x:v>
      </x:c>
      <x:c r="C16" s="28" t="str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</x:row>
  </x:sheetData>
  <x:mergeCells>
    <x:mergeCell ref="A1:L1"/>
    <x:mergeCell ref="D3:L3"/>
    <x:mergeCell ref="A11:C11"/>
  </x:mergeCells>
  <x:pageMargins left="0.7" right="0.7" top="0.75" bottom="0.75" header="0.3" footer="0.3"/>
  <x:drawing xmlns:r="http://schemas.openxmlformats.org/officeDocument/2006/relationships" r:id="Ra433d3e793f94cab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5" hidden="0" customWidth="1"/>
    <x:col min="4" max="4" width="35" hidden="0" customWidth="1"/>
    <x:col min="5" max="5" width="38" hidden="0" customWidth="1"/>
    <x:col min="6" max="6" width="34" hidden="0" customWidth="1"/>
    <x:col min="7" max="7" width="34" hidden="0" customWidth="1"/>
    <x:col min="8" max="8" width="38" hidden="0" customWidth="1"/>
    <x:col min="9" max="9" width="30" hidden="0" customWidth="1"/>
    <x:col min="10" max="10" width="28" hidden="0" customWidth="1"/>
  </x:cols>
  <x:sheetData>
    <x:row r="1">
      <x:c r="A1" s="26" t="str">
        <x:v>採用する5つのモデル</x:v>
      </x:c>
      <x:c r="B1" s="26" t="str">
        <x:v>採用する5つのモデル</x:v>
      </x:c>
      <x:c r="C1" s="26" t="str">
        <x:v>採用する5つのモデル</x:v>
      </x:c>
      <x:c r="D1" s="26" t="str">
        <x:v>採用する5つのモデル</x:v>
      </x:c>
      <x:c r="E1" s="26" t="str">
        <x:v>採用する5つのモデル</x:v>
      </x:c>
      <x:c r="F1" s="26" t="str">
        <x:v>採用する5つのモデル</x:v>
      </x:c>
      <x:c r="G1" s="26" t="str">
        <x:v>採用する5つのモデル</x:v>
      </x:c>
      <x:c r="H1" s="26" t="str">
        <x:v>採用する5つのモデル</x:v>
      </x:c>
      <x:c r="I1" s="26" t="str">
        <x:v>採用する5つのモデル</x:v>
      </x:c>
      <x:c r="J1" s="26" t="str">
        <x:v>採用する5つのモデル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</x:row>
    <x:row r="3">
      <x:c r="A3" s="31" t="str">
        <x:v>Model ID</x:v>
      </x:c>
      <x:c r="B3" s="31" t="str">
        <x:v>モデル名</x:v>
      </x:c>
      <x:c r="C3" s="31" t="str">
        <x:v>狙い</x:v>
      </x:c>
      <x:c r="D3" s="31" t="str">
        <x:v>週末チェック項目</x:v>
      </x:c>
      <x:c r="E3" s="31" t="str">
        <x:v>エントリー条件</x:v>
      </x:c>
      <x:c r="F3" s="31" t="str">
        <x:v>損切り方針</x:v>
      </x:c>
      <x:c r="G3" s="31" t="str">
        <x:v>利確方針</x:v>
      </x:c>
      <x:c r="H3" s="31" t="str">
        <x:v>AIの使い方</x:v>
      </x:c>
      <x:c r="I3" s="31" t="str">
        <x:v>主なリスク</x:v>
      </x:c>
      <x:c r="J3" s="31" t="str">
        <x:v>採用判定基準</x:v>
      </x:c>
    </x:row>
    <x:row r="4">
      <x:c r="A4" s="28" t="str">
        <x:v>M1</x:v>
      </x:c>
      <x:c r="B4" s="28" t="str">
        <x:v>トレンドフォロー</x:v>
      </x:c>
      <x:c r="C4" s="28" t="str">
        <x:v>上昇トレンドが続く銘柄を狙う</x:v>
      </x:c>
      <x:c r="D4" s="28" t="str">
        <x:v>指数、セクター、移動平均、直近高値</x:v>
      </x:c>
      <x:c r="E4" s="28" t="str">
        <x:v>上昇基調で押し目または高値更新後の定着</x:v>
      </x:c>
      <x:c r="F4" s="28" t="str">
        <x:v>直近安値・移動平均割れ・想定損失上限</x:v>
      </x:c>
      <x:c r="G4" s="28" t="str">
        <x:v>分割利確またはトレーリング</x:v>
      </x:c>
      <x:c r="H4" s="28" t="str">
        <x:v>チャート条件の言語化、候補比較</x:v>
      </x:c>
      <x:c r="I4" s="28" t="str">
        <x:v>急反転、過熱、遅いエントリー</x:v>
      </x:c>
      <x:c r="J4" s="28" t="str">
        <x:v>損小利大が守れる</x:v>
      </x:c>
    </x:row>
    <x:row r="5">
      <x:c r="A5" s="28" t="str">
        <x:v>M2</x:v>
      </x:c>
      <x:c r="B5" s="28" t="str">
        <x:v>決算モメンタム</x:v>
      </x:c>
      <x:c r="C5" s="28" t="str">
        <x:v>好決算・上方修正後の継続上昇を狙う</x:v>
      </x:c>
      <x:c r="D5" s="28" t="str">
        <x:v>決算、上方修正、出来高、翌週イベント</x:v>
      </x:c>
      <x:c r="E5" s="28" t="str">
        <x:v>好材料後に高値圏で崩れず推移</x:v>
      </x:c>
      <x:c r="F5" s="28" t="str">
        <x:v>決算窓埋め・材料否定・損失上限</x:v>
      </x:c>
      <x:c r="G5" s="28" t="str">
        <x:v>材料の織り込み感が強い時に縮小</x:v>
      </x:c>
      <x:c r="H5" s="28" t="str">
        <x:v>決算短信・説明資料・ニュース要約</x:v>
      </x:c>
      <x:c r="I5" s="28" t="str">
        <x:v>材料出尽くし、ギャップダウン</x:v>
      </x:c>
      <x:c r="J5" s="28" t="str">
        <x:v>材料と価格が同方向に続く</x:v>
      </x:c>
    </x:row>
    <x:row r="6">
      <x:c r="A6" s="28" t="str">
        <x:v>M3</x:v>
      </x:c>
      <x:c r="B6" s="28" t="str">
        <x:v>ETFコア＋個別株サテライト</x:v>
      </x:c>
      <x:c r="C6" s="28" t="str">
        <x:v>市場全体の流れを取りつつ個別で上乗せ</x:v>
      </x:c>
      <x:c r="D6" s="28" t="str">
        <x:v>指数ETF、金利、為替、セクターETF</x:v>
      </x:c>
      <x:c r="E6" s="28" t="str">
        <x:v>地合い良好時にETF中心、個別は少額</x:v>
      </x:c>
      <x:c r="F6" s="28" t="str">
        <x:v>ETFは広め、個別は厳しめ</x:v>
      </x:c>
      <x:c r="G6" s="28" t="str">
        <x:v>ETFは段階利確、個別は短め</x:v>
      </x:c>
      <x:c r="H6" s="28" t="str">
        <x:v>マクロ要約、ETF比較、個別候補整理</x:v>
      </x:c>
      <x:c r="I6" s="28" t="str">
        <x:v>個別の寄与が薄い、相場急変</x:v>
      </x:c>
      <x:c r="J6" s="28" t="str">
        <x:v>安定して継続しやすい</x:v>
      </x:c>
    </x:row>
    <x:row r="7">
      <x:c r="A7" s="28" t="str">
        <x:v>M4</x:v>
      </x:c>
      <x:c r="B7" s="28" t="str">
        <x:v>ニュース確認型モメンタム</x:v>
      </x:c>
      <x:c r="C7" s="28" t="str">
        <x:v>価格上昇をニュースの質で確認する</x:v>
      </x:c>
      <x:c r="D7" s="28" t="str">
        <x:v>直近ニュース、テーマ、競合、規制</x:v>
      </x:c>
      <x:c r="E7" s="28" t="str">
        <x:v>価格が強く、ニュースが一過性でない</x:v>
      </x:c>
      <x:c r="F7" s="28" t="str">
        <x:v>ニュース否定・出来高減少・損失上限</x:v>
      </x:c>
      <x:c r="G7" s="28" t="str">
        <x:v>ニュース熱が冷めたら縮小</x:v>
      </x:c>
      <x:c r="H7" s="28" t="str">
        <x:v>ニュースを強気/弱気/中立で採点</x:v>
      </x:c>
      <x:c r="I7" s="28" t="str">
        <x:v>誤情報、煽り、AIの読み違い</x:v>
      </x:c>
      <x:c r="J7" s="28" t="str">
        <x:v>ニュース確認で悪い取引を避ける</x:v>
      </x:c>
    </x:row>
    <x:row r="8">
      <x:c r="A8" s="28" t="str">
        <x:v>M5</x:v>
      </x:c>
      <x:c r="B8" s="28" t="str">
        <x:v>リスク最小・高流動性リバランス</x:v>
      </x:c>
      <x:c r="C8" s="28" t="str">
        <x:v>無理に当てず、流動性と損失制御を重視</x:v>
      </x:c>
      <x:c r="D8" s="28" t="str">
        <x:v>出来高、ボラ、スプレッド、相関</x:v>
      </x:c>
      <x:c r="E8" s="28" t="str">
        <x:v>低ボラ・高流動性で条件が明確</x:v>
      </x:c>
      <x:c r="F8" s="28" t="str">
        <x:v>ATRや直近安値を使い小さく管理</x:v>
      </x:c>
      <x:c r="G8" s="28" t="str">
        <x:v>小さく確定、悪化時は撤退</x:v>
      </x:c>
      <x:c r="H8" s="28" t="str">
        <x:v>ポジションサイズ計算、相関チェック</x:v>
      </x:c>
      <x:c r="I8" s="28" t="str">
        <x:v>リターンが小さい、機会損失</x:v>
      </x:c>
      <x:c r="J8" s="28" t="str">
        <x:v>損失が最も安定して小さい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2" hidden="0" customWidth="1"/>
    <x:col min="4" max="4" width="10" hidden="0" customWidth="1"/>
    <x:col min="5" max="5" width="12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  <x:col min="11" max="11" width="13" hidden="0" customWidth="1"/>
    <x:col min="12" max="12" width="13" hidden="0" customWidth="1"/>
    <x:col min="13" max="13" width="12" hidden="0" customWidth="1"/>
  </x:cols>
  <x:sheetData>
    <x:row r="1">
      <x:c r="A1" s="26" t="str">
        <x:v>100万円前提 資金配分案</x:v>
      </x:c>
      <x:c r="B1" s="26" t="str">
        <x:v>100万円前提 資金配分案</x:v>
      </x:c>
      <x:c r="C1" s="26" t="str">
        <x:v>100万円前提 資金配分案</x:v>
      </x:c>
      <x:c r="D1" s="26" t="str">
        <x:v>100万円前提 資金配分案</x:v>
      </x:c>
      <x:c r="E1" s="26" t="str">
        <x:v>100万円前提 資金配分案</x:v>
      </x:c>
      <x:c r="F1" s="26" t="str">
        <x:v>100万円前提 資金配分案</x:v>
      </x:c>
      <x:c r="G1" s="26" t="str">
        <x:v>100万円前提 資金配分案</x:v>
      </x:c>
      <x:c r="H1" s="26" t="str">
        <x:v>100万円前提 資金配分案</x:v>
      </x:c>
      <x:c r="I1" s="26" t="str">
        <x:v>100万円前提 資金配分案</x:v>
      </x:c>
      <x:c r="J1" s="26" t="str">
        <x:v>100万円前提 資金配分案</x:v>
      </x:c>
      <x:c r="K1" s="27"/>
      <x:c r="L1" s="27"/>
      <x:c r="M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27" t="str">
        <x:v>総資金</x:v>
      </x:c>
      <x:c r="B3" s="27" t="n">
        <x:v>1000000</x:v>
      </x:c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</x:row>
    <x:row r="4">
      <x:c r="A4" s="27" t="str">
        <x:v>初回投入目安</x:v>
      </x:c>
      <x:c r="B4" s="27" t="n">
        <x:v>583200</x:v>
      </x:c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</x:row>
    <x:row r="5">
      <x:c r="A5" s="27" t="str">
        <x:v>現金温存目安</x:v>
      </x:c>
      <x:c r="B5" s="27" t="n">
        <x:v>416800</x:v>
      </x:c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</x:row>
    <x:row r="6">
      <x:c r="A6" s="27" t="str">
        <x:v>初回投入比率</x:v>
      </x:c>
      <x:c r="B6" s="27" t="n">
        <x:f>B4/B3</x:f>
        <x:v>0.5832</x:v>
      </x:c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</x:row>
    <x:row r="7">
      <x:c r="A7" s="27" t="str">
        <x:v>現金比率</x:v>
      </x:c>
      <x:c r="B7" s="27" t="n">
        <x:f>B5/B3</x:f>
        <x:v>0.4168</x:v>
      </x:c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</x:row>
    <x:row r="8">
      <x:c r="A8" s="27" t="str">
        <x:v>方針</x:v>
      </x:c>
      <x:c r="B8" s="27" t="str">
        <x:v>上限一杯に投資せず、良さそうな銘柄や押し目が出たときに回せる余剰金を確保する</x:v>
      </x:c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</x:row>
    <x:row r="10">
      <x:c r="A10" s="31" t="str">
        <x:v>区分</x:v>
      </x:c>
      <x:c r="B10" s="31" t="str">
        <x:v>コード</x:v>
      </x:c>
      <x:c r="C10" s="31" t="str">
        <x:v>銘柄</x:v>
      </x:c>
      <x:c r="D10" s="31" t="str">
        <x:v>株数</x:v>
      </x:c>
      <x:c r="E10" s="31" t="str">
        <x:v>Entry目安</x:v>
      </x:c>
      <x:c r="F10" s="31" t="str">
        <x:v>投資額</x:v>
      </x:c>
      <x:c r="G10" s="31" t="str">
        <x:v>Stop</x:v>
      </x:c>
      <x:c r="H10" s="31" t="str">
        <x:v>第1利確</x:v>
      </x:c>
      <x:c r="I10" s="31" t="str">
        <x:v>第2利確</x:v>
      </x:c>
      <x:c r="J10" s="31" t="str">
        <x:v>損切り損益</x:v>
      </x:c>
      <x:c r="K10" s="31" t="str">
        <x:v>第1利確損益</x:v>
      </x:c>
      <x:c r="L10" s="31" t="str">
        <x:v>第2利確損益</x:v>
      </x:c>
      <x:c r="M10" s="31" t="str">
        <x:v>状態</x:v>
      </x:c>
    </x:row>
    <x:row r="11">
      <x:c r="A11" s="28" t="str">
        <x:v>初回候補</x:v>
      </x:c>
      <x:c r="B11" s="28" t="str">
        <x:v>8306</x:v>
      </x:c>
      <x:c r="C11" s="28" t="str">
        <x:v>三菱UFJ FG</x:v>
      </x:c>
      <x:c r="D11" s="28" t="n">
        <x:v>100</x:v>
      </x:c>
      <x:c r="E11" s="28" t="n">
        <x:v>3162</x:v>
      </x:c>
      <x:c r="F11" s="28" t="n">
        <x:f>D11*E11</x:f>
        <x:v>316200</x:v>
      </x:c>
      <x:c r="G11" s="28" t="n">
        <x:v>3000</x:v>
      </x:c>
      <x:c r="H11" s="28" t="n">
        <x:v>3300</x:v>
      </x:c>
      <x:c r="I11" s="28" t="n">
        <x:v>3450</x:v>
      </x:c>
      <x:c r="J11" s="28" t="n">
        <x:f>(G11-E11)*D11</x:f>
        <x:v>-16200</x:v>
      </x:c>
      <x:c r="K11" s="28" t="n">
        <x:f>(H11-E11)*D11</x:f>
        <x:v>13800</x:v>
      </x:c>
      <x:c r="L11" s="28" t="n">
        <x:f>(I11-E11)*D11</x:f>
        <x:v>28800</x:v>
      </x:c>
      <x:c r="M11" s="28" t="str">
        <x:v>実行候補</x:v>
      </x:c>
    </x:row>
    <x:row r="12">
      <x:c r="A12" s="28" t="str">
        <x:v>初回候補</x:v>
      </x:c>
      <x:c r="B12" s="28" t="str">
        <x:v>9433</x:v>
      </x:c>
      <x:c r="C12" s="28" t="str">
        <x:v>KDDI</x:v>
      </x:c>
      <x:c r="D12" s="28" t="n">
        <x:v>100</x:v>
      </x:c>
      <x:c r="E12" s="28" t="n">
        <x:v>2670</x:v>
      </x:c>
      <x:c r="F12" s="28" t="n">
        <x:f>D12*E12</x:f>
        <x:v>267000</x:v>
      </x:c>
      <x:c r="G12" s="28" t="n">
        <x:v>2580</x:v>
      </x:c>
      <x:c r="H12" s="28" t="n">
        <x:v>2800</x:v>
      </x:c>
      <x:c r="I12" s="28" t="n">
        <x:v>2900</x:v>
      </x:c>
      <x:c r="J12" s="28" t="n">
        <x:f>(G12-E12)*D12</x:f>
        <x:v>-9000</x:v>
      </x:c>
      <x:c r="K12" s="28" t="n">
        <x:f>(H12-E12)*D12</x:f>
        <x:v>13000</x:v>
      </x:c>
      <x:c r="L12" s="28" t="n">
        <x:f>(I12-E12)*D12</x:f>
        <x:v>23000</x:v>
      </x:c>
      <x:c r="M12" s="28" t="str">
        <x:v>実行候補</x:v>
      </x:c>
    </x:row>
    <x:row r="13">
      <x:c r="A13" s="28" t="str">
        <x:v>押し目待ち</x:v>
      </x:c>
      <x:c r="B13" s="28" t="str">
        <x:v>8035</x:v>
      </x:c>
      <x:c r="C13" s="28" t="str">
        <x:v>東京エレクトロン</x:v>
      </x:c>
      <x:c r="D13" s="28" t="n">
        <x:v>2</x:v>
      </x:c>
      <x:c r="E13" s="28" t="n">
        <x:v>66000</x:v>
      </x:c>
      <x:c r="F13" s="28" t="n">
        <x:f>D13*E13</x:f>
        <x:v>132000</x:v>
      </x:c>
      <x:c r="G13" s="28" t="n">
        <x:v>62000</x:v>
      </x:c>
      <x:c r="H13" s="28" t="n">
        <x:v>74000</x:v>
      </x:c>
      <x:c r="I13" s="28" t="n">
        <x:v>78000</x:v>
      </x:c>
      <x:c r="J13" s="28" t="n">
        <x:f>(G13-E13)*D13</x:f>
        <x:v>-8000</x:v>
      </x:c>
      <x:c r="K13" s="28" t="n">
        <x:f>(H13-E13)*D13</x:f>
        <x:v>16000</x:v>
      </x:c>
      <x:c r="L13" s="28" t="n">
        <x:f>(I13-E13)*D13</x:f>
        <x:v>24000</x:v>
      </x:c>
      <x:c r="M13" s="28" t="str">
        <x:v>待機</x:v>
      </x:c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</x:row>
    <x:row r="16">
      <x:c r="A16" s="28" t="str">
        <x:v>初回候補のみ投資額</x:v>
      </x:c>
      <x:c r="B16" s="28" t="n">
        <x:f>SUM(F11:F12)</x:f>
        <x:v>583200</x:v>
      </x:c>
      <x:c r="C16" s="28"/>
      <x:c r="D16" s="28" t="str">
        <x:v>8035まで入れた投資額</x:v>
      </x:c>
      <x:c r="E16" s="28" t="n">
        <x:f>SUM(F11:F13)</x:f>
        <x:v>715200</x:v>
      </x:c>
      <x:c r="F16" s="27"/>
      <x:c r="G16" s="27"/>
      <x:c r="H16" s="27"/>
      <x:c r="I16" s="27"/>
      <x:c r="J16" s="27"/>
      <x:c r="K16" s="27"/>
      <x:c r="L16" s="27"/>
      <x:c r="M16" s="27"/>
    </x:row>
    <x:row r="17">
      <x:c r="A17" s="28" t="str">
        <x:v>初回候補のみ現金</x:v>
      </x:c>
      <x:c r="B17" s="28" t="n">
        <x:f>B3-B16</x:f>
        <x:v>416800</x:v>
      </x:c>
      <x:c r="C17" s="28"/>
      <x:c r="D17" s="28" t="str">
        <x:v>8035まで入れた現金</x:v>
      </x:c>
      <x:c r="E17" s="28" t="n">
        <x:f>B3-E16</x:f>
        <x:v>284800</x:v>
      </x:c>
      <x:c r="F17" s="27"/>
      <x:c r="G17" s="27"/>
      <x:c r="H17" s="27"/>
      <x:c r="I17" s="27"/>
      <x:c r="J17" s="27"/>
      <x:c r="K17" s="27"/>
      <x:c r="L17" s="27"/>
      <x:c r="M17" s="27"/>
    </x:row>
    <x:row r="18">
      <x:c r="A18" s="28" t="str">
        <x:v>初回候補損切り</x:v>
      </x:c>
      <x:c r="B18" s="28" t="n">
        <x:f>SUM(J11:J12)</x:f>
        <x:v>-25200</x:v>
      </x:c>
      <x:c r="C18" s="28"/>
      <x:c r="D18" s="28" t="str">
        <x:v>8035込み損切り</x:v>
      </x:c>
      <x:c r="E18" s="28" t="n">
        <x:f>SUM(J11:J13)</x:f>
        <x:v>-33200</x:v>
      </x:c>
      <x:c r="F18" s="27"/>
      <x:c r="G18" s="27"/>
      <x:c r="H18" s="27"/>
      <x:c r="I18" s="27"/>
      <x:c r="J18" s="27"/>
      <x:c r="K18" s="27"/>
      <x:c r="L18" s="27"/>
      <x:c r="M18" s="27"/>
    </x:row>
    <x:row r="19">
      <x:c r="A19" s="28" t="str">
        <x:v>初回候補第1利確</x:v>
      </x:c>
      <x:c r="B19" s="28" t="n">
        <x:f>SUM(K11:K12)</x:f>
        <x:v>26800</x:v>
      </x:c>
      <x:c r="C19" s="28"/>
      <x:c r="D19" s="28" t="str">
        <x:v>8035込み第1利確</x:v>
      </x:c>
      <x:c r="E19" s="28" t="n">
        <x:f>SUM(K11:K13)</x:f>
        <x:v>42800</x:v>
      </x:c>
      <x:c r="F19" s="27"/>
      <x:c r="G19" s="27"/>
      <x:c r="H19" s="27"/>
      <x:c r="I19" s="27"/>
      <x:c r="J19" s="27"/>
      <x:c r="K19" s="27"/>
      <x:c r="L19" s="27"/>
      <x:c r="M19" s="27"/>
    </x:row>
    <x:row r="20">
      <x:c r="A20" s="28" t="str">
        <x:v>初回候補第2利確</x:v>
      </x:c>
      <x:c r="B20" s="28" t="n">
        <x:f>SUM(L11:L12)</x:f>
        <x:v>51800</x:v>
      </x:c>
      <x:c r="C20" s="28"/>
      <x:c r="D20" s="28" t="str">
        <x:v>8035込み第2利確</x:v>
      </x:c>
      <x:c r="E20" s="28" t="n">
        <x:f>SUM(L11:L13)</x:f>
        <x:v>75800</x:v>
      </x:c>
      <x:c r="F20" s="27"/>
      <x:c r="G20" s="27"/>
      <x:c r="H20" s="27"/>
      <x:c r="I20" s="27"/>
      <x:c r="J20" s="27"/>
      <x:c r="K20" s="27"/>
      <x:c r="L20" s="27"/>
      <x:c r="M20" s="27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2" hidden="0" customWidth="1"/>
    <x:col min="4" max="4" width="14" hidden="0" customWidth="1"/>
    <x:col min="5" max="5" width="38" hidden="0" customWidth="1"/>
    <x:col min="6" max="6" width="34" hidden="0" customWidth="1"/>
    <x:col min="7" max="7" width="18" hidden="0" customWidth="1"/>
    <x:col min="8" max="8" width="34" hidden="0" customWidth="1"/>
    <x:col min="9" max="9" width="36" hidden="0" customWidth="1"/>
    <x:col min="10" max="10" width="26" hidden="0" customWidth="1"/>
    <x:col min="11" max="11" width="24" hidden="0" customWidth="1"/>
  </x:cols>
  <x:sheetData>
    <x:row r="1">
      <x:c r="A1" s="26" t="str">
        <x:v>監視リストと条件</x:v>
      </x:c>
      <x:c r="B1" s="26" t="str">
        <x:v>監視リストと条件</x:v>
      </x:c>
      <x:c r="C1" s="26" t="str">
        <x:v>監視リストと条件</x:v>
      </x:c>
      <x:c r="D1" s="26" t="str">
        <x:v>監視リストと条件</x:v>
      </x:c>
      <x:c r="E1" s="26" t="str">
        <x:v>監視リストと条件</x:v>
      </x:c>
      <x:c r="F1" s="26" t="str">
        <x:v>監視リストと条件</x:v>
      </x:c>
      <x:c r="G1" s="26" t="str">
        <x:v>監視リストと条件</x:v>
      </x:c>
      <x:c r="H1" s="26" t="str">
        <x:v>監視リストと条件</x:v>
      </x:c>
      <x:c r="I1" s="26" t="str">
        <x:v>監視リストと条件</x:v>
      </x:c>
      <x:c r="J1" s="26" t="str">
        <x:v>監視リストと条件</x:v>
      </x:c>
      <x:c r="K1" s="26" t="str">
        <x:v>監視リストと条件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3">
      <x:c r="A3" s="31" t="str">
        <x:v>優先</x:v>
      </x:c>
      <x:c r="B3" s="31" t="str">
        <x:v>コード</x:v>
      </x:c>
      <x:c r="C3" s="31" t="str">
        <x:v>銘柄</x:v>
      </x:c>
      <x:c r="D3" s="31" t="str">
        <x:v>扱い</x:v>
      </x:c>
      <x:c r="E3" s="31" t="str">
        <x:v>上昇確認</x:v>
      </x:c>
      <x:c r="F3" s="31" t="str">
        <x:v>見送り/損切り</x:v>
      </x:c>
      <x:c r="G3" s="31" t="str">
        <x:v>資金方針</x:v>
      </x:c>
      <x:c r="H3" s="31" t="str">
        <x:v>確認するデータ</x:v>
      </x:c>
      <x:c r="I3" s="31" t="str">
        <x:v>検索時の判断</x:v>
      </x:c>
      <x:c r="J3" s="31" t="str">
        <x:v>次アクション</x:v>
      </x:c>
      <x:c r="K3" s="31" t="str">
        <x:v>メモ</x:v>
      </x:c>
    </x:row>
    <x:row r="4">
      <x:c r="A4" s="28" t="n">
        <x:v>1</x:v>
      </x:c>
      <x:c r="B4" s="28" t="str">
        <x:v>8306</x:v>
      </x:c>
      <x:c r="C4" s="28" t="str">
        <x:v>三菱UFJ FG</x:v>
      </x:c>
      <x:c r="D4" s="28" t="str">
        <x:v>初回候補</x:v>
      </x:c>
      <x:c r="E4" s="28" t="str">
        <x:v>3,220円超え、銀行セクター強含み</x:v>
      </x:c>
      <x:c r="F4" s="28" t="str">
        <x:v>3,000円割れ</x:v>
      </x:c>
      <x:c r="G4" s="28" t="str">
        <x:v>100株まで</x:v>
      </x:c>
      <x:c r="H4" s="28" t="str">
        <x:v>価格、出来高、金利/日銀ニュース</x:v>
      </x:c>
      <x:c r="I4" s="28" t="str">
        <x:v>継続候補か利確/撤退を判定</x:v>
      </x:c>
      <x:c r="J4" s="28" t="str">
        <x:v>検索時に最新価格で再計算</x:v>
      </x:c>
      <x:c r="K4" s="28" t="str">
        <x:v>主力候補</x:v>
      </x:c>
    </x:row>
    <x:row r="5">
      <x:c r="A5" s="28" t="n">
        <x:v>2</x:v>
      </x:c>
      <x:c r="B5" s="28" t="str">
        <x:v>9433</x:v>
      </x:c>
      <x:c r="C5" s="28" t="str">
        <x:v>KDDI</x:v>
      </x:c>
      <x:c r="D5" s="28" t="str">
        <x:v>初回候補</x:v>
      </x:c>
      <x:c r="E5" s="28" t="str">
        <x:v>2,750円超え、2,650円台維持</x:v>
      </x:c>
      <x:c r="F5" s="28" t="str">
        <x:v>2,580円割れ</x:v>
      </x:c>
      <x:c r="G5" s="28" t="str">
        <x:v>100株まで</x:v>
      </x:c>
      <x:c r="H5" s="28" t="str">
        <x:v>価格、出来高、通信セクター</x:v>
      </x:c>
      <x:c r="I5" s="28" t="str">
        <x:v>守り枠として継続可否を判定</x:v>
      </x:c>
      <x:c r="J5" s="28" t="str">
        <x:v>検索時に最新価格で再計算</x:v>
      </x:c>
      <x:c r="K5" s="28" t="str">
        <x:v>守り候補</x:v>
      </x:c>
    </x:row>
    <x:row r="6">
      <x:c r="A6" s="28" t="n">
        <x:v>3</x:v>
      </x:c>
      <x:c r="B6" s="28" t="str">
        <x:v>8035</x:v>
      </x:c>
      <x:c r="C6" s="28" t="str">
        <x:v>東京エレクトロン</x:v>
      </x:c>
      <x:c r="D6" s="28" t="str">
        <x:v>押し目待ち</x:v>
      </x:c>
      <x:c r="E6" s="28" t="str">
        <x:v>65,000〜66,000円台から反発、または70,000円超え</x:v>
      </x:c>
      <x:c r="F6" s="28" t="str">
        <x:v>65,000円をすぐ割る、半導体全体反落</x:v>
      </x:c>
      <x:c r="G6" s="28" t="str">
        <x:v>S株1〜2株のみ</x:v>
      </x:c>
      <x:c r="H6" s="28" t="str">
        <x:v>価格、出来高、半導体指数、AI関連ニュース</x:v>
      </x:c>
      <x:c r="I6" s="28" t="str">
        <x:v>追わずに押し目を待てるか判定</x:v>
      </x:c>
      <x:c r="J6" s="28" t="str">
        <x:v>条件到達時だけ検討</x:v>
      </x:c>
      <x:c r="K6" s="28" t="str">
        <x:v>急騰後なので注意</x:v>
      </x:c>
    </x:row>
    <x:row r="7">
      <x:c r="A7" s="28" t="n">
        <x:v>4</x:v>
      </x:c>
      <x:c r="B7" s="28" t="str">
        <x:v>6857</x:v>
      </x:c>
      <x:c r="C7" s="28" t="str">
        <x:v>アドバンテスト</x:v>
      </x:c>
      <x:c r="D7" s="28" t="str">
        <x:v>保留</x:v>
      </x:c>
      <x:c r="E7" s="28" t="str">
        <x:v>28,500円超え、出来高増</x:v>
      </x:c>
      <x:c r="F7" s="28" t="str">
        <x:v>26,000円を保てない</x:v>
      </x:c>
      <x:c r="G7" s="28" t="str">
        <x:v>S株少額のみ</x:v>
      </x:c>
      <x:c r="H7" s="28" t="str">
        <x:v>価格、出来高、半導体指数</x:v>
      </x:c>
      <x:c r="I7" s="28" t="str">
        <x:v>反発継続か荒さ優先で見送りか</x:v>
      </x:c>
      <x:c r="J7" s="28" t="str">
        <x:v>週末再評価</x:v>
      </x:c>
      <x:c r="K7" s="28" t="str">
        <x:v>値動き荒い</x:v>
      </x:c>
    </x:row>
    <x:row r="8">
      <x:c r="A8" s="28" t="n">
        <x:v>5</x:v>
      </x:c>
      <x:c r="B8" s="28" t="str">
        <x:v>9984</x:v>
      </x:c>
      <x:c r="C8" s="28" t="str">
        <x:v>ソフトバンクG</x:v>
      </x:c>
      <x:c r="D8" s="28" t="str">
        <x:v>保留</x:v>
      </x:c>
      <x:c r="E8" s="28" t="str">
        <x:v>高値からの調整後に反発確認</x:v>
      </x:c>
      <x:c r="F8" s="28" t="str">
        <x:v>資金調達/AI関連悪材料で続落</x:v>
      </x:c>
      <x:c r="G8" s="28" t="str">
        <x:v>小さく観察のみ</x:v>
      </x:c>
      <x:c r="H8" s="28" t="str">
        <x:v>価格、ニュース、AI/Arm/OpenAI関連</x:v>
      </x:c>
      <x:c r="I8" s="28" t="str">
        <x:v>ニュースと価格反応の一致を確認</x:v>
      </x:c>
      <x:c r="J8" s="28" t="str">
        <x:v>週末再評価</x:v>
      </x:c>
      <x:c r="K8" s="28" t="str">
        <x:v>ニュース感応度高い</x:v>
      </x:c>
    </x:row>
    <x:row r="9">
      <x:c r="A9" s="28" t="n">
        <x:v>6</x:v>
      </x:c>
      <x:c r="B9" s="28" t="str">
        <x:v>7011</x:v>
      </x:c>
      <x:c r="C9" s="28" t="str">
        <x:v>三菱重工業</x:v>
      </x:c>
      <x:c r="D9" s="28" t="str">
        <x:v>見送り寄り</x:v>
      </x:c>
      <x:c r="E9" s="28" t="str">
        <x:v>下降基調から反転し高値更新</x:v>
      </x:c>
      <x:c r="F9" s="28" t="str">
        <x:v>下降継続</x:v>
      </x:c>
      <x:c r="G9" s="28" t="str">
        <x:v>当面なし</x:v>
      </x:c>
      <x:c r="H9" s="28" t="str">
        <x:v>価格、出来高、防衛/受注ニュース</x:v>
      </x:c>
      <x:c r="I9" s="28" t="str">
        <x:v>材料とチャートが一致するか確認</x:v>
      </x:c>
      <x:c r="J9" s="28" t="str">
        <x:v>週末再評価</x:v>
      </x:c>
      <x:c r="K9" s="28" t="str">
        <x:v>材料は強いが形が弱い</x:v>
      </x:c>
    </x:row>
    <x:row r="10">
      <x:c r="A10" s="28" t="n">
        <x:v>7</x:v>
      </x:c>
      <x:c r="B10" s="28" t="str">
        <x:v>6501</x:v>
      </x:c>
      <x:c r="C10" s="28" t="str">
        <x:v>日立製作所</x:v>
      </x:c>
      <x:c r="D10" s="28" t="str">
        <x:v>見送り寄り</x:v>
      </x:c>
      <x:c r="E10" s="28" t="str">
        <x:v>下げ止まり後に移動平均回復</x:v>
      </x:c>
      <x:c r="F10" s="28" t="str">
        <x:v>下落継続</x:v>
      </x:c>
      <x:c r="G10" s="28" t="str">
        <x:v>当面なし</x:v>
      </x:c>
      <x:c r="H10" s="28" t="str">
        <x:v>価格、出来高、決算/インフラ材料</x:v>
      </x:c>
      <x:c r="I10" s="28" t="str">
        <x:v>下げ止まり確認が先</x:v>
      </x:c>
      <x:c r="J10" s="28" t="str">
        <x:v>週末再評価</x:v>
      </x:c>
      <x:c r="K10" s="28" t="str">
        <x:v>今は様子見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10" hidden="0" customWidth="1"/>
    <x:col min="4" max="4" width="18" hidden="0" customWidth="1"/>
    <x:col min="5" max="5" width="12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3" hidden="0" customWidth="1"/>
    <x:col min="13" max="13" width="12" hidden="0" customWidth="1"/>
    <x:col min="14" max="14" width="11" hidden="0" customWidth="1"/>
    <x:col min="15" max="15" width="12" hidden="0" customWidth="1"/>
    <x:col min="16" max="16" width="35" hidden="0" customWidth="1"/>
    <x:col min="17" max="17" width="45" hidden="0" customWidth="1"/>
    <x:col min="18" max="18" width="12" hidden="0" customWidth="1"/>
    <x:col min="19" max="19" width="35" hidden="0" customWidth="1"/>
    <x:col min="20" max="20" width="24" hidden="0" customWidth="1"/>
  </x:cols>
  <x:sheetData>
    <x:row r="1">
      <x:c r="A1" s="26" t="str">
        <x:v>模擬取引ログ</x:v>
      </x:c>
      <x:c r="B1" s="26" t="str">
        <x:v>模擬取引ログ</x:v>
      </x:c>
      <x:c r="C1" s="26" t="str">
        <x:v>模擬取引ログ</x:v>
      </x:c>
      <x:c r="D1" s="26" t="str">
        <x:v>模擬取引ログ</x:v>
      </x:c>
      <x:c r="E1" s="26" t="str">
        <x:v>模擬取引ログ</x:v>
      </x:c>
      <x:c r="F1" s="26" t="str">
        <x:v>模擬取引ログ</x:v>
      </x:c>
      <x:c r="G1" s="26" t="str">
        <x:v>模擬取引ログ</x:v>
      </x:c>
      <x:c r="H1" s="26" t="str">
        <x:v>模擬取引ログ</x:v>
      </x:c>
      <x:c r="I1" s="26" t="str">
        <x:v>模擬取引ログ</x:v>
      </x:c>
      <x:c r="J1" s="26" t="str">
        <x:v>模擬取引ログ</x:v>
      </x:c>
      <x:c r="K1" s="26" t="str">
        <x:v>模擬取引ログ</x:v>
      </x:c>
      <x:c r="L1" s="26" t="str">
        <x:v>模擬取引ログ</x:v>
      </x:c>
      <x:c r="M1" s="26" t="str">
        <x:v>模擬取引ログ</x:v>
      </x:c>
      <x:c r="N1" s="26" t="str">
        <x:v>模擬取引ログ</x:v>
      </x:c>
      <x:c r="O1" s="26" t="str">
        <x:v>模擬取引ログ</x:v>
      </x:c>
      <x:c r="P1" s="26" t="str">
        <x:v>模擬取引ログ</x:v>
      </x:c>
      <x:c r="Q1" s="26" t="str">
        <x:v>模擬取引ログ</x:v>
      </x:c>
      <x:c r="R1" s="26" t="str">
        <x:v>模擬取引ログ</x:v>
      </x:c>
      <x:c r="S1" s="26" t="str">
        <x:v>模擬取引ログ</x:v>
      </x:c>
      <x:c r="T1" s="26" t="str">
        <x:v>模擬取引ログ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</x:row>
    <x:row r="3">
      <x:c r="A3" s="31" t="str">
        <x:v>No.</x:v>
      </x:c>
      <x:c r="B3" s="31" t="str">
        <x:v>週</x:v>
      </x:c>
      <x:c r="C3" s="31" t="str">
        <x:v>Model ID</x:v>
      </x:c>
      <x:c r="D3" s="31" t="str">
        <x:v>銘柄/ティッカー</x:v>
      </x:c>
      <x:c r="E3" s="31" t="str">
        <x:v>市場</x:v>
      </x:c>
      <x:c r="F3" s="31" t="str">
        <x:v>候補日</x:v>
      </x:c>
      <x:c r="G3" s="31" t="str">
        <x:v>仮想Entry日</x:v>
      </x:c>
      <x:c r="H3" s="31" t="str">
        <x:v>Entry価格</x:v>
      </x:c>
      <x:c r="I3" s="31" t="str">
        <x:v>Stop価格</x:v>
      </x:c>
      <x:c r="J3" s="31" t="str">
        <x:v>Target価格</x:v>
      </x:c>
      <x:c r="K3" s="31" t="str">
        <x:v>想定損失率</x:v>
      </x:c>
      <x:c r="L3" s="31" t="str">
        <x:v>仮想Exit日</x:v>
      </x:c>
      <x:c r="M3" s="31" t="str">
        <x:v>Exit価格</x:v>
      </x:c>
      <x:c r="N3" s="31" t="str">
        <x:v>損益率</x:v>
      </x:c>
      <x:c r="O3" s="31" t="str">
        <x:v>状態</x:v>
      </x:c>
      <x:c r="P3" s="31" t="str">
        <x:v>根拠</x:v>
      </x:c>
      <x:c r="Q3" s="31" t="str">
        <x:v>AI要約</x:v>
      </x:c>
      <x:c r="R3" s="31" t="str">
        <x:v>ルール逸脱</x:v>
      </x:c>
      <x:c r="S3" s="31" t="str">
        <x:v>週末メモ</x:v>
      </x:c>
      <x:c r="T3" s="31" t="str">
        <x:v>次アクション</x:v>
      </x:c>
    </x:row>
    <x:row r="4">
      <x:c r="A4" s="28" t="n">
        <x:f>IF(D4&lt;&gt;"",ROW()-3,"")</x:f>
        <x:v>1</x:v>
      </x:c>
      <x:c r="B4" s="28" t="str">
        <x:v>Week 1</x:v>
      </x:c>
      <x:c r="C4" s="28" t="str">
        <x:v>M5</x:v>
      </x:c>
      <x:c r="D4" s="28" t="str">
        <x:v>8306 三菱UFJ FG</x:v>
      </x:c>
      <x:c r="E4" s="28" t="str">
        <x:v>日本株</x:v>
      </x:c>
      <x:c r="F4" s="28"/>
      <x:c r="G4" s="28"/>
      <x:c r="H4" s="28" t="n">
        <x:v>3162</x:v>
      </x:c>
      <x:c r="I4" s="28" t="n">
        <x:v>3000</x:v>
      </x:c>
      <x:c r="J4" s="28" t="n">
        <x:v>3300</x:v>
      </x:c>
      <x:c r="K4" s="28" t="n">
        <x:f>IF(AND(H4&lt;&gt;"",I4&lt;&gt;""),(I4-H4)/H4,"")</x:f>
        <x:v>-0.051233396584440226</x:v>
      </x:c>
      <x:c r="L4" s="28"/>
      <x:c r="M4" s="28"/>
      <x:c r="N4" s="28" t="str">
        <x:f>IF(AND(H4&lt;&gt;"",M4&lt;&gt;""),(M4-H4)/H4,"")</x:f>
      </x:c>
      <x:c r="O4" s="28" t="str">
        <x:v>候補</x:v>
      </x:c>
      <x:c r="P4" s="28" t="str">
        <x:v>3ヶ月日足の上昇基調が比較的きれいで、100万円口座でも100株単位で扱いやすい</x:v>
      </x:c>
      <x:c r="Q4" s="28" t="str">
        <x:v>3,220円超え、銀行セクター強含み</x:v>
      </x:c>
      <x:c r="R4" s="28" t="str">
        <x:v>なし</x:v>
      </x:c>
      <x:c r="S4" s="28" t="str">
        <x:v>初回100株候補。価格更新時に損益再計算</x:v>
      </x:c>
      <x:c r="T4" s="28" t="str">
        <x:v>最新検索時に価格を更新し、100株で再計算</x:v>
      </x:c>
    </x:row>
    <x:row r="5">
      <x:c r="A5" s="28" t="n">
        <x:f>IF(D5&lt;&gt;"",ROW()-3,"")</x:f>
        <x:v>2</x:v>
      </x:c>
      <x:c r="B5" s="28" t="str">
        <x:v>Week 1</x:v>
      </x:c>
      <x:c r="C5" s="28" t="str">
        <x:v>M5</x:v>
      </x:c>
      <x:c r="D5" s="28" t="str">
        <x:v>9433 KDDI</x:v>
      </x:c>
      <x:c r="E5" s="28" t="str">
        <x:v>日本株</x:v>
      </x:c>
      <x:c r="F5" s="28"/>
      <x:c r="G5" s="28"/>
      <x:c r="H5" s="28" t="n">
        <x:v>2670</x:v>
      </x:c>
      <x:c r="I5" s="28" t="n">
        <x:v>2580</x:v>
      </x:c>
      <x:c r="J5" s="28" t="n">
        <x:v>2800</x:v>
      </x:c>
      <x:c r="K5" s="28" t="n">
        <x:f>IF(AND(H5&lt;&gt;"",I5&lt;&gt;""),(I5-H5)/H5,"")</x:f>
        <x:v>-0.033707865168539325</x:v>
      </x:c>
      <x:c r="L5" s="28"/>
      <x:c r="M5" s="28"/>
      <x:c r="N5" s="28" t="str">
        <x:f>IF(AND(H5&lt;&gt;"",M5&lt;&gt;""),(M5-H5)/H5,"")</x:f>
      </x:c>
      <x:c r="O5" s="28" t="str">
        <x:v>候補</x:v>
      </x:c>
      <x:c r="P5" s="28" t="str">
        <x:v>通信大型株で値動きが比較的落ち着きやすく、余剰資金を残す方針と相性がよい</x:v>
      </x:c>
      <x:c r="Q5" s="28" t="str">
        <x:v>2,750円超え、2,650円台維持</x:v>
      </x:c>
      <x:c r="R5" s="28" t="str">
        <x:v>なし</x:v>
      </x:c>
      <x:c r="S5" s="28" t="str">
        <x:v>初回100株候補。上昇力より安定性重視</x:v>
      </x:c>
      <x:c r="T5" s="28" t="str">
        <x:v>最新検索時に価格を更新し、100株で再計算</x:v>
      </x:c>
    </x:row>
    <x:row r="6">
      <x:c r="A6" s="28" t="n">
        <x:f>IF(D6&lt;&gt;"",ROW()-3,"")</x:f>
        <x:v>3</x:v>
      </x:c>
      <x:c r="B6" s="28" t="str">
        <x:v>Week 1</x:v>
      </x:c>
      <x:c r="C6" s="28" t="str">
        <x:v>M1</x:v>
      </x:c>
      <x:c r="D6" s="28" t="str">
        <x:v>8035 東京エレクトロン</x:v>
      </x:c>
      <x:c r="E6" s="28" t="str">
        <x:v>日本株</x:v>
      </x:c>
      <x:c r="F6" s="28"/>
      <x:c r="G6" s="28"/>
      <x:c r="H6" s="28" t="n">
        <x:v>66000</x:v>
      </x:c>
      <x:c r="I6" s="28" t="n">
        <x:v>62000</x:v>
      </x:c>
      <x:c r="J6" s="28" t="n">
        <x:v>74000</x:v>
      </x:c>
      <x:c r="K6" s="28" t="n">
        <x:f>IF(AND(H6&lt;&gt;"",I6&lt;&gt;""),(I6-H6)/H6,"")</x:f>
        <x:v>-0.06060606060606061</x:v>
      </x:c>
      <x:c r="L6" s="28"/>
      <x:c r="M6" s="28"/>
      <x:c r="N6" s="28" t="str">
        <x:f>IF(AND(H6&lt;&gt;"",M6&lt;&gt;""),(M6-H6)/H6,"")</x:f>
      </x:c>
      <x:c r="O6" s="28" t="str">
        <x:v>候補</x:v>
      </x:c>
      <x:c r="P6" s="28" t="str">
        <x:v>候補内で最も強いチャートだが急騰直後。単元では買えないためS株で少額観察</x:v>
      </x:c>
      <x:c r="Q6" s="28" t="str">
        <x:v>65,000〜66,000円台から反発、または70,000円超え出来高あり</x:v>
      </x:c>
      <x:c r="R6" s="28" t="str">
        <x:v>なし</x:v>
      </x:c>
      <x:c r="S6" s="28" t="str">
        <x:v>S株1〜2株のみ検討。飛び乗り禁止</x:v>
      </x:c>
      <x:c r="T6" s="28" t="str">
        <x:v>押し目条件到達時のみS株1〜2株を検討</x:v>
      </x:c>
    </x:row>
    <x:row r="7">
      <x:c r="A7" s="28" t="str">
        <x:f>IF(D7&lt;&gt;"",ROW()-3,"")</x:f>
      </x:c>
      <x:c r="B7" s="28"/>
      <x:c r="C7" s="28"/>
      <x:c r="D7" s="28"/>
      <x:c r="E7" s="28"/>
      <x:c r="F7" s="28"/>
      <x:c r="G7" s="28"/>
      <x:c r="H7" s="28"/>
      <x:c r="I7" s="28"/>
      <x:c r="J7" s="28"/>
      <x:c r="K7" s="28" t="str">
        <x:f>IF(AND(H7&lt;&gt;"",I7&lt;&gt;""),(I7-H7)/H7,"")</x:f>
      </x:c>
      <x:c r="L7" s="28"/>
      <x:c r="M7" s="28"/>
      <x:c r="N7" s="28" t="str">
        <x:f>IF(AND(H7&lt;&gt;"",M7&lt;&gt;""),(M7-H7)/H7,"")</x:f>
      </x:c>
      <x:c r="O7" s="28"/>
      <x:c r="P7" s="28"/>
      <x:c r="Q7" s="28"/>
      <x:c r="R7" s="28"/>
      <x:c r="S7" s="28"/>
      <x:c r="T7" s="28"/>
    </x:row>
    <x:row r="8">
      <x:c r="A8" s="28" t="str">
        <x:f>IF(D8&lt;&gt;"",ROW()-3,"")</x:f>
      </x:c>
      <x:c r="B8" s="28"/>
      <x:c r="C8" s="28"/>
      <x:c r="D8" s="28"/>
      <x:c r="E8" s="28"/>
      <x:c r="F8" s="28"/>
      <x:c r="G8" s="28"/>
      <x:c r="H8" s="28"/>
      <x:c r="I8" s="28"/>
      <x:c r="J8" s="28"/>
      <x:c r="K8" s="28" t="str">
        <x:f>IF(AND(H8&lt;&gt;"",I8&lt;&gt;""),(I8-H8)/H8,"")</x:f>
      </x:c>
      <x:c r="L8" s="28"/>
      <x:c r="M8" s="28"/>
      <x:c r="N8" s="28" t="str">
        <x:f>IF(AND(H8&lt;&gt;"",M8&lt;&gt;""),(M8-H8)/H8,"")</x:f>
      </x:c>
      <x:c r="O8" s="28"/>
      <x:c r="P8" s="28"/>
      <x:c r="Q8" s="28"/>
      <x:c r="R8" s="28"/>
      <x:c r="S8" s="28"/>
      <x:c r="T8" s="28"/>
    </x:row>
    <x:row r="9">
      <x:c r="A9" s="28" t="str">
        <x:f>IF(D9&lt;&gt;"",ROW()-3,"")</x:f>
      </x:c>
      <x:c r="B9" s="28"/>
      <x:c r="C9" s="28"/>
      <x:c r="D9" s="28"/>
      <x:c r="E9" s="28"/>
      <x:c r="F9" s="28"/>
      <x:c r="G9" s="28"/>
      <x:c r="H9" s="28"/>
      <x:c r="I9" s="28"/>
      <x:c r="J9" s="28"/>
      <x:c r="K9" s="28" t="str">
        <x:f>IF(AND(H9&lt;&gt;"",I9&lt;&gt;""),(I9-H9)/H9,"")</x:f>
      </x:c>
      <x:c r="L9" s="28"/>
      <x:c r="M9" s="28"/>
      <x:c r="N9" s="28" t="str">
        <x:f>IF(AND(H9&lt;&gt;"",M9&lt;&gt;""),(M9-H9)/H9,"")</x:f>
      </x:c>
      <x:c r="O9" s="28"/>
      <x:c r="P9" s="28"/>
      <x:c r="Q9" s="28"/>
      <x:c r="R9" s="28"/>
      <x:c r="S9" s="28"/>
      <x:c r="T9" s="28"/>
    </x:row>
    <x:row r="10">
      <x:c r="A10" s="28" t="str">
        <x:f>IF(D10&lt;&gt;"",ROW()-3,"")</x:f>
      </x:c>
      <x:c r="B10" s="28"/>
      <x:c r="C10" s="28"/>
      <x:c r="D10" s="28"/>
      <x:c r="E10" s="28"/>
      <x:c r="F10" s="28"/>
      <x:c r="G10" s="28"/>
      <x:c r="H10" s="28"/>
      <x:c r="I10" s="28"/>
      <x:c r="J10" s="28"/>
      <x:c r="K10" s="28" t="str">
        <x:f>IF(AND(H10&lt;&gt;"",I10&lt;&gt;""),(I10-H10)/H10,"")</x:f>
      </x:c>
      <x:c r="L10" s="28"/>
      <x:c r="M10" s="28"/>
      <x:c r="N10" s="28" t="str">
        <x:f>IF(AND(H10&lt;&gt;"",M10&lt;&gt;""),(M10-H10)/H10,"")</x:f>
      </x:c>
      <x:c r="O10" s="28"/>
      <x:c r="P10" s="28"/>
      <x:c r="Q10" s="28"/>
      <x:c r="R10" s="28"/>
      <x:c r="S10" s="28"/>
      <x:c r="T10" s="28"/>
    </x:row>
    <x:row r="11">
      <x:c r="A11" s="28" t="str">
        <x:f>IF(D11&lt;&gt;"",ROW()-3,"")</x:f>
      </x:c>
      <x:c r="B11" s="28"/>
      <x:c r="C11" s="28"/>
      <x:c r="D11" s="28"/>
      <x:c r="E11" s="28"/>
      <x:c r="F11" s="28"/>
      <x:c r="G11" s="28"/>
      <x:c r="H11" s="28"/>
      <x:c r="I11" s="28"/>
      <x:c r="J11" s="28"/>
      <x:c r="K11" s="28" t="str">
        <x:f>IF(AND(H11&lt;&gt;"",I11&lt;&gt;""),(I11-H11)/H11,"")</x:f>
      </x:c>
      <x:c r="L11" s="28"/>
      <x:c r="M11" s="28"/>
      <x:c r="N11" s="28" t="str">
        <x:f>IF(AND(H11&lt;&gt;"",M11&lt;&gt;""),(M11-H11)/H11,"")</x:f>
      </x:c>
      <x:c r="O11" s="28"/>
      <x:c r="P11" s="28"/>
      <x:c r="Q11" s="28"/>
      <x:c r="R11" s="28"/>
      <x:c r="S11" s="28"/>
      <x:c r="T11" s="28"/>
    </x:row>
    <x:row r="12">
      <x:c r="A12" s="28" t="str">
        <x:f>IF(D12&lt;&gt;"",ROW()-3,"")</x:f>
      </x:c>
      <x:c r="B12" s="28"/>
      <x:c r="C12" s="28"/>
      <x:c r="D12" s="28"/>
      <x:c r="E12" s="28"/>
      <x:c r="F12" s="28"/>
      <x:c r="G12" s="28"/>
      <x:c r="H12" s="28"/>
      <x:c r="I12" s="28"/>
      <x:c r="J12" s="28"/>
      <x:c r="K12" s="28" t="str">
        <x:f>IF(AND(H12&lt;&gt;"",I12&lt;&gt;""),(I12-H12)/H12,"")</x:f>
      </x:c>
      <x:c r="L12" s="28"/>
      <x:c r="M12" s="28"/>
      <x:c r="N12" s="28" t="str">
        <x:f>IF(AND(H12&lt;&gt;"",M12&lt;&gt;""),(M12-H12)/H12,"")</x:f>
      </x:c>
      <x:c r="O12" s="28"/>
      <x:c r="P12" s="28"/>
      <x:c r="Q12" s="28"/>
      <x:c r="R12" s="28"/>
      <x:c r="S12" s="28"/>
      <x:c r="T12" s="28"/>
    </x:row>
    <x:row r="13">
      <x:c r="A13" s="28" t="str">
        <x:f>IF(D13&lt;&gt;"",ROW()-3,"")</x:f>
      </x:c>
      <x:c r="B13" s="28"/>
      <x:c r="C13" s="28"/>
      <x:c r="D13" s="28"/>
      <x:c r="E13" s="28"/>
      <x:c r="F13" s="28"/>
      <x:c r="G13" s="28"/>
      <x:c r="H13" s="28"/>
      <x:c r="I13" s="28"/>
      <x:c r="J13" s="28"/>
      <x:c r="K13" s="28" t="str">
        <x:f>IF(AND(H13&lt;&gt;"",I13&lt;&gt;""),(I13-H13)/H13,"")</x:f>
      </x:c>
      <x:c r="L13" s="28"/>
      <x:c r="M13" s="28"/>
      <x:c r="N13" s="28" t="str">
        <x:f>IF(AND(H13&lt;&gt;"",M13&lt;&gt;""),(M13-H13)/H13,"")</x:f>
      </x:c>
      <x:c r="O13" s="28"/>
      <x:c r="P13" s="28"/>
      <x:c r="Q13" s="28"/>
      <x:c r="R13" s="28"/>
      <x:c r="S13" s="28"/>
      <x:c r="T13" s="28"/>
    </x:row>
    <x:row r="14">
      <x:c r="A14" s="28" t="str">
        <x:f>IF(D14&lt;&gt;"",ROW()-3,"")</x:f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8" t="str">
        <x:f>IF(AND(H14&lt;&gt;"",I14&lt;&gt;""),(I14-H14)/H14,"")</x:f>
      </x:c>
      <x:c r="L14" s="28"/>
      <x:c r="M14" s="28"/>
      <x:c r="N14" s="28" t="str">
        <x:f>IF(AND(H14&lt;&gt;"",M14&lt;&gt;""),(M14-H14)/H14,"")</x:f>
      </x:c>
      <x:c r="O14" s="28"/>
      <x:c r="P14" s="28"/>
      <x:c r="Q14" s="28"/>
      <x:c r="R14" s="28"/>
      <x:c r="S14" s="28"/>
      <x:c r="T14" s="28"/>
    </x:row>
    <x:row r="15">
      <x:c r="A15" s="28" t="str">
        <x:f>IF(D15&lt;&gt;"",ROW()-3,"")</x:f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8" t="str">
        <x:f>IF(AND(H15&lt;&gt;"",I15&lt;&gt;""),(I15-H15)/H15,"")</x:f>
      </x:c>
      <x:c r="L15" s="28"/>
      <x:c r="M15" s="28"/>
      <x:c r="N15" s="28" t="str">
        <x:f>IF(AND(H15&lt;&gt;"",M15&lt;&gt;""),(M15-H15)/H15,"")</x:f>
      </x:c>
      <x:c r="O15" s="28"/>
      <x:c r="P15" s="28"/>
      <x:c r="Q15" s="28"/>
      <x:c r="R15" s="28"/>
      <x:c r="S15" s="28"/>
      <x:c r="T15" s="28"/>
    </x:row>
    <x:row r="16">
      <x:c r="A16" s="28" t="str">
        <x:f>IF(D16&lt;&gt;"",ROW()-3,"")</x:f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8" t="str">
        <x:f>IF(AND(H16&lt;&gt;"",I16&lt;&gt;""),(I16-H16)/H16,"")</x:f>
      </x:c>
      <x:c r="L16" s="28"/>
      <x:c r="M16" s="28"/>
      <x:c r="N16" s="28" t="str">
        <x:f>IF(AND(H16&lt;&gt;"",M16&lt;&gt;""),(M16-H16)/H16,"")</x:f>
      </x:c>
      <x:c r="O16" s="28"/>
      <x:c r="P16" s="28"/>
      <x:c r="Q16" s="28"/>
      <x:c r="R16" s="28"/>
      <x:c r="S16" s="28"/>
      <x:c r="T16" s="28"/>
    </x:row>
    <x:row r="17">
      <x:c r="A17" s="28" t="str">
        <x:f>IF(D17&lt;&gt;"",ROW()-3,"")</x:f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8" t="str">
        <x:f>IF(AND(H17&lt;&gt;"",I17&lt;&gt;""),(I17-H17)/H17,"")</x:f>
      </x:c>
      <x:c r="L17" s="28"/>
      <x:c r="M17" s="28"/>
      <x:c r="N17" s="28" t="str">
        <x:f>IF(AND(H17&lt;&gt;"",M17&lt;&gt;""),(M17-H17)/H17,"")</x:f>
      </x:c>
      <x:c r="O17" s="28"/>
      <x:c r="P17" s="28"/>
      <x:c r="Q17" s="28"/>
      <x:c r="R17" s="28"/>
      <x:c r="S17" s="28"/>
      <x:c r="T17" s="28"/>
    </x:row>
    <x:row r="18">
      <x:c r="A18" s="28" t="str">
        <x:f>IF(D18&lt;&gt;"",ROW()-3,"")</x:f>
      </x:c>
      <x:c r="B18" s="28"/>
      <x:c r="C18" s="28"/>
      <x:c r="D18" s="28"/>
      <x:c r="E18" s="28"/>
      <x:c r="F18" s="28"/>
      <x:c r="G18" s="28"/>
      <x:c r="H18" s="28"/>
      <x:c r="I18" s="28"/>
      <x:c r="J18" s="28"/>
      <x:c r="K18" s="28" t="str">
        <x:f>IF(AND(H18&lt;&gt;"",I18&lt;&gt;""),(I18-H18)/H18,"")</x:f>
      </x:c>
      <x:c r="L18" s="28"/>
      <x:c r="M18" s="28"/>
      <x:c r="N18" s="28" t="str">
        <x:f>IF(AND(H18&lt;&gt;"",M18&lt;&gt;""),(M18-H18)/H18,"")</x:f>
      </x:c>
      <x:c r="O18" s="28"/>
      <x:c r="P18" s="28"/>
      <x:c r="Q18" s="28"/>
      <x:c r="R18" s="28"/>
      <x:c r="S18" s="28"/>
      <x:c r="T18" s="28"/>
    </x:row>
    <x:row r="19">
      <x:c r="A19" s="28" t="str">
        <x:f>IF(D19&lt;&gt;"",ROW()-3,"")</x:f>
      </x:c>
      <x:c r="B19" s="28"/>
      <x:c r="C19" s="28"/>
      <x:c r="D19" s="28"/>
      <x:c r="E19" s="28"/>
      <x:c r="F19" s="28"/>
      <x:c r="G19" s="28"/>
      <x:c r="H19" s="28"/>
      <x:c r="I19" s="28"/>
      <x:c r="J19" s="28"/>
      <x:c r="K19" s="28" t="str">
        <x:f>IF(AND(H19&lt;&gt;"",I19&lt;&gt;""),(I19-H19)/H19,"")</x:f>
      </x:c>
      <x:c r="L19" s="28"/>
      <x:c r="M19" s="28"/>
      <x:c r="N19" s="28" t="str">
        <x:f>IF(AND(H19&lt;&gt;"",M19&lt;&gt;""),(M19-H19)/H19,"")</x:f>
      </x:c>
      <x:c r="O19" s="28"/>
      <x:c r="P19" s="28"/>
      <x:c r="Q19" s="28"/>
      <x:c r="R19" s="28"/>
      <x:c r="S19" s="28"/>
      <x:c r="T19" s="28"/>
    </x:row>
    <x:row r="20">
      <x:c r="A20" s="28" t="str">
        <x:f>IF(D20&lt;&gt;"",ROW()-3,"")</x:f>
      </x:c>
      <x:c r="B20" s="28"/>
      <x:c r="C20" s="28"/>
      <x:c r="D20" s="28"/>
      <x:c r="E20" s="28"/>
      <x:c r="F20" s="28"/>
      <x:c r="G20" s="28"/>
      <x:c r="H20" s="28"/>
      <x:c r="I20" s="28"/>
      <x:c r="J20" s="28"/>
      <x:c r="K20" s="28" t="str">
        <x:f>IF(AND(H20&lt;&gt;"",I20&lt;&gt;""),(I20-H20)/H20,"")</x:f>
      </x:c>
      <x:c r="L20" s="28"/>
      <x:c r="M20" s="28"/>
      <x:c r="N20" s="28" t="str">
        <x:f>IF(AND(H20&lt;&gt;"",M20&lt;&gt;""),(M20-H20)/H20,"")</x:f>
      </x:c>
      <x:c r="O20" s="28"/>
      <x:c r="P20" s="28"/>
      <x:c r="Q20" s="28"/>
      <x:c r="R20" s="28"/>
      <x:c r="S20" s="28"/>
      <x:c r="T20" s="28"/>
    </x:row>
    <x:row r="21">
      <x:c r="A21" s="28" t="str">
        <x:f>IF(D21&lt;&gt;"",ROW()-3,"")</x:f>
      </x:c>
      <x:c r="B21" s="28"/>
      <x:c r="C21" s="28"/>
      <x:c r="D21" s="28"/>
      <x:c r="E21" s="28"/>
      <x:c r="F21" s="28"/>
      <x:c r="G21" s="28"/>
      <x:c r="H21" s="28"/>
      <x:c r="I21" s="28"/>
      <x:c r="J21" s="28"/>
      <x:c r="K21" s="28" t="str">
        <x:f>IF(AND(H21&lt;&gt;"",I21&lt;&gt;""),(I21-H21)/H21,"")</x:f>
      </x:c>
      <x:c r="L21" s="28"/>
      <x:c r="M21" s="28"/>
      <x:c r="N21" s="28" t="str">
        <x:f>IF(AND(H21&lt;&gt;"",M21&lt;&gt;""),(M21-H21)/H21,"")</x:f>
      </x:c>
      <x:c r="O21" s="28"/>
      <x:c r="P21" s="28"/>
      <x:c r="Q21" s="28"/>
      <x:c r="R21" s="28"/>
      <x:c r="S21" s="28"/>
      <x:c r="T21" s="28"/>
    </x:row>
    <x:row r="22">
      <x:c r="A22" s="28" t="str">
        <x:f>IF(D22&lt;&gt;"",ROW()-3,"")</x:f>
      </x:c>
      <x:c r="B22" s="28"/>
      <x:c r="C22" s="28"/>
      <x:c r="D22" s="28"/>
      <x:c r="E22" s="28"/>
      <x:c r="F22" s="28"/>
      <x:c r="G22" s="28"/>
      <x:c r="H22" s="28"/>
      <x:c r="I22" s="28"/>
      <x:c r="J22" s="28"/>
      <x:c r="K22" s="28" t="str">
        <x:f>IF(AND(H22&lt;&gt;"",I22&lt;&gt;""),(I22-H22)/H22,"")</x:f>
      </x:c>
      <x:c r="L22" s="28"/>
      <x:c r="M22" s="28"/>
      <x:c r="N22" s="28" t="str">
        <x:f>IF(AND(H22&lt;&gt;"",M22&lt;&gt;""),(M22-H22)/H22,"")</x:f>
      </x:c>
      <x:c r="O22" s="28"/>
      <x:c r="P22" s="28"/>
      <x:c r="Q22" s="28"/>
      <x:c r="R22" s="28"/>
      <x:c r="S22" s="28"/>
      <x:c r="T22" s="28"/>
    </x:row>
    <x:row r="23">
      <x:c r="A23" s="28" t="str">
        <x:f>IF(D23&lt;&gt;"",ROW()-3,"")</x:f>
      </x:c>
      <x:c r="B23" s="28"/>
      <x:c r="C23" s="28"/>
      <x:c r="D23" s="28"/>
      <x:c r="E23" s="28"/>
      <x:c r="F23" s="28"/>
      <x:c r="G23" s="28"/>
      <x:c r="H23" s="28"/>
      <x:c r="I23" s="28"/>
      <x:c r="J23" s="28"/>
      <x:c r="K23" s="28" t="str">
        <x:f>IF(AND(H23&lt;&gt;"",I23&lt;&gt;""),(I23-H23)/H23,"")</x:f>
      </x:c>
      <x:c r="L23" s="28"/>
      <x:c r="M23" s="28"/>
      <x:c r="N23" s="28" t="str">
        <x:f>IF(AND(H23&lt;&gt;"",M23&lt;&gt;""),(M23-H23)/H23,"")</x:f>
      </x:c>
      <x:c r="O23" s="28"/>
      <x:c r="P23" s="28"/>
      <x:c r="Q23" s="28"/>
      <x:c r="R23" s="28"/>
      <x:c r="S23" s="28"/>
      <x:c r="T23" s="28"/>
    </x:row>
    <x:row r="24">
      <x:c r="A24" s="28" t="str">
        <x:f>IF(D24&lt;&gt;"",ROW()-3,"")</x:f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8" t="str">
        <x:f>IF(AND(H24&lt;&gt;"",I24&lt;&gt;""),(I24-H24)/H24,"")</x:f>
      </x:c>
      <x:c r="L24" s="28"/>
      <x:c r="M24" s="28"/>
      <x:c r="N24" s="28" t="str">
        <x:f>IF(AND(H24&lt;&gt;"",M24&lt;&gt;""),(M24-H24)/H24,"")</x:f>
      </x:c>
      <x:c r="O24" s="28"/>
      <x:c r="P24" s="28"/>
      <x:c r="Q24" s="28"/>
      <x:c r="R24" s="28"/>
      <x:c r="S24" s="28"/>
      <x:c r="T24" s="28"/>
    </x:row>
    <x:row r="25">
      <x:c r="A25" s="28" t="str">
        <x:f>IF(D25&lt;&gt;"",ROW()-3,"")</x:f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8" t="str">
        <x:f>IF(AND(H25&lt;&gt;"",I25&lt;&gt;""),(I25-H25)/H25,"")</x:f>
      </x:c>
      <x:c r="L25" s="28"/>
      <x:c r="M25" s="28"/>
      <x:c r="N25" s="28" t="str">
        <x:f>IF(AND(H25&lt;&gt;"",M25&lt;&gt;""),(M25-H25)/H25,"")</x:f>
      </x:c>
      <x:c r="O25" s="28"/>
      <x:c r="P25" s="28"/>
      <x:c r="Q25" s="28"/>
      <x:c r="R25" s="28"/>
      <x:c r="S25" s="28"/>
      <x:c r="T25" s="28"/>
    </x:row>
    <x:row r="26">
      <x:c r="A26" s="28" t="str">
        <x:f>IF(D26&lt;&gt;"",ROW()-3,"")</x:f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8" t="str">
        <x:f>IF(AND(H26&lt;&gt;"",I26&lt;&gt;""),(I26-H26)/H26,"")</x:f>
      </x:c>
      <x:c r="L26" s="28"/>
      <x:c r="M26" s="28"/>
      <x:c r="N26" s="28" t="str">
        <x:f>IF(AND(H26&lt;&gt;"",M26&lt;&gt;""),(M26-H26)/H26,"")</x:f>
      </x:c>
      <x:c r="O26" s="28"/>
      <x:c r="P26" s="28"/>
      <x:c r="Q26" s="28"/>
      <x:c r="R26" s="28"/>
      <x:c r="S26" s="28"/>
      <x:c r="T26" s="28"/>
    </x:row>
    <x:row r="27">
      <x:c r="A27" s="28" t="str">
        <x:f>IF(D27&lt;&gt;"",ROW()-3,"")</x:f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8" t="str">
        <x:f>IF(AND(H27&lt;&gt;"",I27&lt;&gt;""),(I27-H27)/H27,"")</x:f>
      </x:c>
      <x:c r="L27" s="28"/>
      <x:c r="M27" s="28"/>
      <x:c r="N27" s="28" t="str">
        <x:f>IF(AND(H27&lt;&gt;"",M27&lt;&gt;""),(M27-H27)/H27,"")</x:f>
      </x:c>
      <x:c r="O27" s="28"/>
      <x:c r="P27" s="28"/>
      <x:c r="Q27" s="28"/>
      <x:c r="R27" s="28"/>
      <x:c r="S27" s="28"/>
      <x:c r="T27" s="28"/>
    </x:row>
    <x:row r="28">
      <x:c r="A28" s="28" t="str">
        <x:f>IF(D28&lt;&gt;"",ROW()-3,"")</x:f>
      </x:c>
      <x:c r="B28" s="28"/>
      <x:c r="C28" s="28"/>
      <x:c r="D28" s="28"/>
      <x:c r="E28" s="28"/>
      <x:c r="F28" s="28"/>
      <x:c r="G28" s="28"/>
      <x:c r="H28" s="28"/>
      <x:c r="I28" s="28"/>
      <x:c r="J28" s="28"/>
      <x:c r="K28" s="28" t="str">
        <x:f>IF(AND(H28&lt;&gt;"",I28&lt;&gt;""),(I28-H28)/H28,"")</x:f>
      </x:c>
      <x:c r="L28" s="28"/>
      <x:c r="M28" s="28"/>
      <x:c r="N28" s="28" t="str">
        <x:f>IF(AND(H28&lt;&gt;"",M28&lt;&gt;""),(M28-H28)/H28,"")</x:f>
      </x:c>
      <x:c r="O28" s="28"/>
      <x:c r="P28" s="28"/>
      <x:c r="Q28" s="28"/>
      <x:c r="R28" s="28"/>
      <x:c r="S28" s="28"/>
      <x:c r="T28" s="28"/>
    </x:row>
    <x:row r="29">
      <x:c r="A29" s="28" t="str">
        <x:f>IF(D29&lt;&gt;"",ROW()-3,"")</x:f>
      </x:c>
      <x:c r="B29" s="28"/>
      <x:c r="C29" s="28"/>
      <x:c r="D29" s="28"/>
      <x:c r="E29" s="28"/>
      <x:c r="F29" s="28"/>
      <x:c r="G29" s="28"/>
      <x:c r="H29" s="28"/>
      <x:c r="I29" s="28"/>
      <x:c r="J29" s="28"/>
      <x:c r="K29" s="28" t="str">
        <x:f>IF(AND(H29&lt;&gt;"",I29&lt;&gt;""),(I29-H29)/H29,"")</x:f>
      </x:c>
      <x:c r="L29" s="28"/>
      <x:c r="M29" s="28"/>
      <x:c r="N29" s="28" t="str">
        <x:f>IF(AND(H29&lt;&gt;"",M29&lt;&gt;""),(M29-H29)/H29,"")</x:f>
      </x:c>
      <x:c r="O29" s="28"/>
      <x:c r="P29" s="28"/>
      <x:c r="Q29" s="28"/>
      <x:c r="R29" s="28"/>
      <x:c r="S29" s="28"/>
      <x:c r="T29" s="28"/>
    </x:row>
    <x:row r="30">
      <x:c r="A30" s="28" t="str">
        <x:f>IF(D30&lt;&gt;"",ROW()-3,"")</x:f>
      </x:c>
      <x:c r="B30" s="28"/>
      <x:c r="C30" s="28"/>
      <x:c r="D30" s="28"/>
      <x:c r="E30" s="28"/>
      <x:c r="F30" s="28"/>
      <x:c r="G30" s="28"/>
      <x:c r="H30" s="28"/>
      <x:c r="I30" s="28"/>
      <x:c r="J30" s="28"/>
      <x:c r="K30" s="28" t="str">
        <x:f>IF(AND(H30&lt;&gt;"",I30&lt;&gt;""),(I30-H30)/H30,"")</x:f>
      </x:c>
      <x:c r="L30" s="28"/>
      <x:c r="M30" s="28"/>
      <x:c r="N30" s="28" t="str">
        <x:f>IF(AND(H30&lt;&gt;"",M30&lt;&gt;""),(M30-H30)/H30,"")</x:f>
      </x:c>
      <x:c r="O30" s="28"/>
      <x:c r="P30" s="28"/>
      <x:c r="Q30" s="28"/>
      <x:c r="R30" s="28"/>
      <x:c r="S30" s="28"/>
      <x:c r="T30" s="28"/>
    </x:row>
    <x:row r="31">
      <x:c r="A31" s="28" t="str">
        <x:f>IF(D31&lt;&gt;"",ROW()-3,"")</x:f>
      </x:c>
      <x:c r="B31" s="28"/>
      <x:c r="C31" s="28"/>
      <x:c r="D31" s="28"/>
      <x:c r="E31" s="28"/>
      <x:c r="F31" s="28"/>
      <x:c r="G31" s="28"/>
      <x:c r="H31" s="28"/>
      <x:c r="I31" s="28"/>
      <x:c r="J31" s="28"/>
      <x:c r="K31" s="28" t="str">
        <x:f>IF(AND(H31&lt;&gt;"",I31&lt;&gt;""),(I31-H31)/H31,"")</x:f>
      </x:c>
      <x:c r="L31" s="28"/>
      <x:c r="M31" s="28"/>
      <x:c r="N31" s="28" t="str">
        <x:f>IF(AND(H31&lt;&gt;"",M31&lt;&gt;""),(M31-H31)/H31,"")</x:f>
      </x:c>
      <x:c r="O31" s="28"/>
      <x:c r="P31" s="28"/>
      <x:c r="Q31" s="28"/>
      <x:c r="R31" s="28"/>
      <x:c r="S31" s="28"/>
      <x:c r="T31" s="28"/>
    </x:row>
    <x:row r="32">
      <x:c r="A32" s="28" t="str">
        <x:f>IF(D32&lt;&gt;"",ROW()-3,"")</x:f>
      </x:c>
      <x:c r="B32" s="28"/>
      <x:c r="C32" s="28"/>
      <x:c r="D32" s="28"/>
      <x:c r="E32" s="28"/>
      <x:c r="F32" s="28"/>
      <x:c r="G32" s="28"/>
      <x:c r="H32" s="28"/>
      <x:c r="I32" s="28"/>
      <x:c r="J32" s="28"/>
      <x:c r="K32" s="28" t="str">
        <x:f>IF(AND(H32&lt;&gt;"",I32&lt;&gt;""),(I32-H32)/H32,"")</x:f>
      </x:c>
      <x:c r="L32" s="28"/>
      <x:c r="M32" s="28"/>
      <x:c r="N32" s="28" t="str">
        <x:f>IF(AND(H32&lt;&gt;"",M32&lt;&gt;""),(M32-H32)/H32,"")</x:f>
      </x:c>
      <x:c r="O32" s="28"/>
      <x:c r="P32" s="28"/>
      <x:c r="Q32" s="28"/>
      <x:c r="R32" s="28"/>
      <x:c r="S32" s="28"/>
      <x:c r="T32" s="28"/>
    </x:row>
    <x:row r="33">
      <x:c r="A33" s="28" t="str">
        <x:f>IF(D33&lt;&gt;"",ROW()-3,"")</x:f>
      </x:c>
      <x:c r="B33" s="28"/>
      <x:c r="C33" s="28"/>
      <x:c r="D33" s="28"/>
      <x:c r="E33" s="28"/>
      <x:c r="F33" s="28"/>
      <x:c r="G33" s="28"/>
      <x:c r="H33" s="28"/>
      <x:c r="I33" s="28"/>
      <x:c r="J33" s="28"/>
      <x:c r="K33" s="28" t="str">
        <x:f>IF(AND(H33&lt;&gt;"",I33&lt;&gt;""),(I33-H33)/H33,"")</x:f>
      </x:c>
      <x:c r="L33" s="28"/>
      <x:c r="M33" s="28"/>
      <x:c r="N33" s="28" t="str">
        <x:f>IF(AND(H33&lt;&gt;"",M33&lt;&gt;""),(M33-H33)/H33,"")</x:f>
      </x:c>
      <x:c r="O33" s="28"/>
      <x:c r="P33" s="28"/>
      <x:c r="Q33" s="28"/>
      <x:c r="R33" s="28"/>
      <x:c r="S33" s="28"/>
      <x:c r="T33" s="28"/>
    </x:row>
    <x:row r="34">
      <x:c r="A34" s="28" t="str">
        <x:f>IF(D34&lt;&gt;"",ROW()-3,"")</x:f>
      </x:c>
      <x:c r="B34" s="28"/>
      <x:c r="C34" s="28"/>
      <x:c r="D34" s="28"/>
      <x:c r="E34" s="28"/>
      <x:c r="F34" s="28"/>
      <x:c r="G34" s="28"/>
      <x:c r="H34" s="28"/>
      <x:c r="I34" s="28"/>
      <x:c r="J34" s="28"/>
      <x:c r="K34" s="28" t="str">
        <x:f>IF(AND(H34&lt;&gt;"",I34&lt;&gt;""),(I34-H34)/H34,"")</x:f>
      </x:c>
      <x:c r="L34" s="28"/>
      <x:c r="M34" s="28"/>
      <x:c r="N34" s="28" t="str">
        <x:f>IF(AND(H34&lt;&gt;"",M34&lt;&gt;""),(M34-H34)/H34,"")</x:f>
      </x:c>
      <x:c r="O34" s="28"/>
      <x:c r="P34" s="28"/>
      <x:c r="Q34" s="28"/>
      <x:c r="R34" s="28"/>
      <x:c r="S34" s="28"/>
      <x:c r="T34" s="28"/>
    </x:row>
    <x:row r="35">
      <x:c r="A35" s="28" t="str">
        <x:f>IF(D35&lt;&gt;"",ROW()-3,"")</x:f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8" t="str">
        <x:f>IF(AND(H35&lt;&gt;"",I35&lt;&gt;""),(I35-H35)/H35,"")</x:f>
      </x:c>
      <x:c r="L35" s="28"/>
      <x:c r="M35" s="28"/>
      <x:c r="N35" s="28" t="str">
        <x:f>IF(AND(H35&lt;&gt;"",M35&lt;&gt;""),(M35-H35)/H35,"")</x:f>
      </x:c>
      <x:c r="O35" s="28"/>
      <x:c r="P35" s="28"/>
      <x:c r="Q35" s="28"/>
      <x:c r="R35" s="28"/>
      <x:c r="S35" s="28"/>
      <x:c r="T35" s="28"/>
    </x:row>
    <x:row r="36">
      <x:c r="A36" s="28" t="str">
        <x:f>IF(D36&lt;&gt;"",ROW()-3,"")</x:f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8" t="str">
        <x:f>IF(AND(H36&lt;&gt;"",I36&lt;&gt;""),(I36-H36)/H36,"")</x:f>
      </x:c>
      <x:c r="L36" s="28"/>
      <x:c r="M36" s="28"/>
      <x:c r="N36" s="28" t="str">
        <x:f>IF(AND(H36&lt;&gt;"",M36&lt;&gt;""),(M36-H36)/H36,"")</x:f>
      </x:c>
      <x:c r="O36" s="28"/>
      <x:c r="P36" s="28"/>
      <x:c r="Q36" s="28"/>
      <x:c r="R36" s="28"/>
      <x:c r="S36" s="28"/>
      <x:c r="T36" s="28"/>
    </x:row>
    <x:row r="37">
      <x:c r="A37" s="28" t="str">
        <x:f>IF(D37&lt;&gt;"",ROW()-3,"")</x:f>
      </x:c>
      <x:c r="B37" s="28"/>
      <x:c r="C37" s="28"/>
      <x:c r="D37" s="28"/>
      <x:c r="E37" s="28"/>
      <x:c r="F37" s="28"/>
      <x:c r="G37" s="28"/>
      <x:c r="H37" s="28"/>
      <x:c r="I37" s="28"/>
      <x:c r="J37" s="28"/>
      <x:c r="K37" s="28" t="str">
        <x:f>IF(AND(H37&lt;&gt;"",I37&lt;&gt;""),(I37-H37)/H37,"")</x:f>
      </x:c>
      <x:c r="L37" s="28"/>
      <x:c r="M37" s="28"/>
      <x:c r="N37" s="28" t="str">
        <x:f>IF(AND(H37&lt;&gt;"",M37&lt;&gt;""),(M37-H37)/H37,"")</x:f>
      </x:c>
      <x:c r="O37" s="28"/>
      <x:c r="P37" s="28"/>
      <x:c r="Q37" s="28"/>
      <x:c r="R37" s="28"/>
      <x:c r="S37" s="28"/>
      <x:c r="T37" s="28"/>
    </x:row>
    <x:row r="38">
      <x:c r="A38" s="28" t="str">
        <x:f>IF(D38&lt;&gt;"",ROW()-3,"")</x:f>
      </x:c>
      <x:c r="B38" s="28"/>
      <x:c r="C38" s="28"/>
      <x:c r="D38" s="28"/>
      <x:c r="E38" s="28"/>
      <x:c r="F38" s="28"/>
      <x:c r="G38" s="28"/>
      <x:c r="H38" s="28"/>
      <x:c r="I38" s="28"/>
      <x:c r="J38" s="28"/>
      <x:c r="K38" s="28" t="str">
        <x:f>IF(AND(H38&lt;&gt;"",I38&lt;&gt;""),(I38-H38)/H38,"")</x:f>
      </x:c>
      <x:c r="L38" s="28"/>
      <x:c r="M38" s="28"/>
      <x:c r="N38" s="28" t="str">
        <x:f>IF(AND(H38&lt;&gt;"",M38&lt;&gt;""),(M38-H38)/H38,"")</x:f>
      </x:c>
      <x:c r="O38" s="28"/>
      <x:c r="P38" s="28"/>
      <x:c r="Q38" s="28"/>
      <x:c r="R38" s="28"/>
      <x:c r="S38" s="28"/>
      <x:c r="T38" s="28"/>
    </x:row>
    <x:row r="39">
      <x:c r="A39" s="28" t="str">
        <x:f>IF(D39&lt;&gt;"",ROW()-3,"")</x:f>
      </x:c>
      <x:c r="B39" s="28"/>
      <x:c r="C39" s="28"/>
      <x:c r="D39" s="28"/>
      <x:c r="E39" s="28"/>
      <x:c r="F39" s="28"/>
      <x:c r="G39" s="28"/>
      <x:c r="H39" s="28"/>
      <x:c r="I39" s="28"/>
      <x:c r="J39" s="28"/>
      <x:c r="K39" s="28" t="str">
        <x:f>IF(AND(H39&lt;&gt;"",I39&lt;&gt;""),(I39-H39)/H39,"")</x:f>
      </x:c>
      <x:c r="L39" s="28"/>
      <x:c r="M39" s="28"/>
      <x:c r="N39" s="28" t="str">
        <x:f>IF(AND(H39&lt;&gt;"",M39&lt;&gt;""),(M39-H39)/H39,"")</x:f>
      </x:c>
      <x:c r="O39" s="28"/>
      <x:c r="P39" s="28"/>
      <x:c r="Q39" s="28"/>
      <x:c r="R39" s="28"/>
      <x:c r="S39" s="28"/>
      <x:c r="T39" s="28"/>
    </x:row>
    <x:row r="40">
      <x:c r="A40" s="28" t="str">
        <x:f>IF(D40&lt;&gt;"",ROW()-3,"")</x:f>
      </x:c>
      <x:c r="B40" s="28"/>
      <x:c r="C40" s="28"/>
      <x:c r="D40" s="28"/>
      <x:c r="E40" s="28"/>
      <x:c r="F40" s="28"/>
      <x:c r="G40" s="28"/>
      <x:c r="H40" s="28"/>
      <x:c r="I40" s="28"/>
      <x:c r="J40" s="28"/>
      <x:c r="K40" s="28" t="str">
        <x:f>IF(AND(H40&lt;&gt;"",I40&lt;&gt;""),(I40-H40)/H40,"")</x:f>
      </x:c>
      <x:c r="L40" s="28"/>
      <x:c r="M40" s="28"/>
      <x:c r="N40" s="28" t="str">
        <x:f>IF(AND(H40&lt;&gt;"",M40&lt;&gt;""),(M40-H40)/H40,"")</x:f>
      </x:c>
      <x:c r="O40" s="28"/>
      <x:c r="P40" s="28"/>
      <x:c r="Q40" s="28"/>
      <x:c r="R40" s="28"/>
      <x:c r="S40" s="28"/>
      <x:c r="T40" s="28"/>
    </x:row>
    <x:row r="41">
      <x:c r="A41" s="28" t="str">
        <x:f>IF(D41&lt;&gt;"",ROW()-3,"")</x:f>
      </x:c>
      <x:c r="B41" s="28"/>
      <x:c r="C41" s="28"/>
      <x:c r="D41" s="28"/>
      <x:c r="E41" s="28"/>
      <x:c r="F41" s="28"/>
      <x:c r="G41" s="28"/>
      <x:c r="H41" s="28"/>
      <x:c r="I41" s="28"/>
      <x:c r="J41" s="28"/>
      <x:c r="K41" s="28" t="str">
        <x:f>IF(AND(H41&lt;&gt;"",I41&lt;&gt;""),(I41-H41)/H41,"")</x:f>
      </x:c>
      <x:c r="L41" s="28"/>
      <x:c r="M41" s="28"/>
      <x:c r="N41" s="28" t="str">
        <x:f>IF(AND(H41&lt;&gt;"",M41&lt;&gt;""),(M41-H41)/H41,"")</x:f>
      </x:c>
      <x:c r="O41" s="28"/>
      <x:c r="P41" s="28"/>
      <x:c r="Q41" s="28"/>
      <x:c r="R41" s="28"/>
      <x:c r="S41" s="28"/>
      <x:c r="T41" s="28"/>
    </x:row>
    <x:row r="42">
      <x:c r="A42" s="28" t="str">
        <x:f>IF(D42&lt;&gt;"",ROW()-3,"")</x:f>
      </x:c>
      <x:c r="B42" s="28"/>
      <x:c r="C42" s="28"/>
      <x:c r="D42" s="28"/>
      <x:c r="E42" s="28"/>
      <x:c r="F42" s="28"/>
      <x:c r="G42" s="28"/>
      <x:c r="H42" s="28"/>
      <x:c r="I42" s="28"/>
      <x:c r="J42" s="28"/>
      <x:c r="K42" s="28" t="str">
        <x:f>IF(AND(H42&lt;&gt;"",I42&lt;&gt;""),(I42-H42)/H42,"")</x:f>
      </x:c>
      <x:c r="L42" s="28"/>
      <x:c r="M42" s="28"/>
      <x:c r="N42" s="28" t="str">
        <x:f>IF(AND(H42&lt;&gt;"",M42&lt;&gt;""),(M42-H42)/H42,"")</x:f>
      </x:c>
      <x:c r="O42" s="28"/>
      <x:c r="P42" s="28"/>
      <x:c r="Q42" s="28"/>
      <x:c r="R42" s="28"/>
      <x:c r="S42" s="28"/>
      <x:c r="T42" s="28"/>
    </x:row>
    <x:row r="43">
      <x:c r="A43" s="28" t="str">
        <x:f>IF(D43&lt;&gt;"",ROW()-3,"")</x:f>
      </x:c>
      <x:c r="B43" s="28"/>
      <x:c r="C43" s="28"/>
      <x:c r="D43" s="28"/>
      <x:c r="E43" s="28"/>
      <x:c r="F43" s="28"/>
      <x:c r="G43" s="28"/>
      <x:c r="H43" s="28"/>
      <x:c r="I43" s="28"/>
      <x:c r="J43" s="28"/>
      <x:c r="K43" s="28" t="str">
        <x:f>IF(AND(H43&lt;&gt;"",I43&lt;&gt;""),(I43-H43)/H43,"")</x:f>
      </x:c>
      <x:c r="L43" s="28"/>
      <x:c r="M43" s="28"/>
      <x:c r="N43" s="28" t="str">
        <x:f>IF(AND(H43&lt;&gt;"",M43&lt;&gt;""),(M43-H43)/H43,"")</x:f>
      </x:c>
      <x:c r="O43" s="28"/>
      <x:c r="P43" s="28"/>
      <x:c r="Q43" s="28"/>
      <x:c r="R43" s="28"/>
      <x:c r="S43" s="28"/>
      <x:c r="T43" s="28"/>
    </x:row>
    <x:row r="44">
      <x:c r="A44" s="28" t="str">
        <x:f>IF(D44&lt;&gt;"",ROW()-3,"")</x:f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8" t="str">
        <x:f>IF(AND(H44&lt;&gt;"",I44&lt;&gt;""),(I44-H44)/H44,"")</x:f>
      </x:c>
      <x:c r="L44" s="28"/>
      <x:c r="M44" s="28"/>
      <x:c r="N44" s="28" t="str">
        <x:f>IF(AND(H44&lt;&gt;"",M44&lt;&gt;""),(M44-H44)/H44,"")</x:f>
      </x:c>
      <x:c r="O44" s="28"/>
      <x:c r="P44" s="28"/>
      <x:c r="Q44" s="28"/>
      <x:c r="R44" s="28"/>
      <x:c r="S44" s="28"/>
      <x:c r="T44" s="28"/>
    </x:row>
    <x:row r="45">
      <x:c r="A45" s="28" t="str">
        <x:f>IF(D45&lt;&gt;"",ROW()-3,"")</x:f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8" t="str">
        <x:f>IF(AND(H45&lt;&gt;"",I45&lt;&gt;""),(I45-H45)/H45,"")</x:f>
      </x:c>
      <x:c r="L45" s="28"/>
      <x:c r="M45" s="28"/>
      <x:c r="N45" s="28" t="str">
        <x:f>IF(AND(H45&lt;&gt;"",M45&lt;&gt;""),(M45-H45)/H45,"")</x:f>
      </x:c>
      <x:c r="O45" s="28"/>
      <x:c r="P45" s="28"/>
      <x:c r="Q45" s="28"/>
      <x:c r="R45" s="28"/>
      <x:c r="S45" s="28"/>
      <x:c r="T45" s="28"/>
    </x:row>
    <x:row r="46">
      <x:c r="A46" s="28" t="str">
        <x:f>IF(D46&lt;&gt;"",ROW()-3,"")</x:f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8" t="str">
        <x:f>IF(AND(H46&lt;&gt;"",I46&lt;&gt;""),(I46-H46)/H46,"")</x:f>
      </x:c>
      <x:c r="L46" s="28"/>
      <x:c r="M46" s="28"/>
      <x:c r="N46" s="28" t="str">
        <x:f>IF(AND(H46&lt;&gt;"",M46&lt;&gt;""),(M46-H46)/H46,"")</x:f>
      </x:c>
      <x:c r="O46" s="28"/>
      <x:c r="P46" s="28"/>
      <x:c r="Q46" s="28"/>
      <x:c r="R46" s="28"/>
      <x:c r="S46" s="28"/>
      <x:c r="T46" s="28"/>
    </x:row>
    <x:row r="47">
      <x:c r="A47" s="28" t="str">
        <x:f>IF(D47&lt;&gt;"",ROW()-3,"")</x:f>
      </x:c>
      <x:c r="B47" s="28"/>
      <x:c r="C47" s="28"/>
      <x:c r="D47" s="28"/>
      <x:c r="E47" s="28"/>
      <x:c r="F47" s="28"/>
      <x:c r="G47" s="28"/>
      <x:c r="H47" s="28"/>
      <x:c r="I47" s="28"/>
      <x:c r="J47" s="28"/>
      <x:c r="K47" s="28" t="str">
        <x:f>IF(AND(H47&lt;&gt;"",I47&lt;&gt;""),(I47-H47)/H47,"")</x:f>
      </x:c>
      <x:c r="L47" s="28"/>
      <x:c r="M47" s="28"/>
      <x:c r="N47" s="28" t="str">
        <x:f>IF(AND(H47&lt;&gt;"",M47&lt;&gt;""),(M47-H47)/H47,"")</x:f>
      </x:c>
      <x:c r="O47" s="28"/>
      <x:c r="P47" s="28"/>
      <x:c r="Q47" s="28"/>
      <x:c r="R47" s="28"/>
      <x:c r="S47" s="28"/>
      <x:c r="T47" s="28"/>
    </x:row>
    <x:row r="48">
      <x:c r="A48" s="28" t="str">
        <x:f>IF(D48&lt;&gt;"",ROW()-3,"")</x:f>
      </x:c>
      <x:c r="B48" s="28"/>
      <x:c r="C48" s="28"/>
      <x:c r="D48" s="28"/>
      <x:c r="E48" s="28"/>
      <x:c r="F48" s="28"/>
      <x:c r="G48" s="28"/>
      <x:c r="H48" s="28"/>
      <x:c r="I48" s="28"/>
      <x:c r="J48" s="28"/>
      <x:c r="K48" s="28" t="str">
        <x:f>IF(AND(H48&lt;&gt;"",I48&lt;&gt;""),(I48-H48)/H48,"")</x:f>
      </x:c>
      <x:c r="L48" s="28"/>
      <x:c r="M48" s="28"/>
      <x:c r="N48" s="28" t="str">
        <x:f>IF(AND(H48&lt;&gt;"",M48&lt;&gt;""),(M48-H48)/H48,"")</x:f>
      </x:c>
      <x:c r="O48" s="28"/>
      <x:c r="P48" s="28"/>
      <x:c r="Q48" s="28"/>
      <x:c r="R48" s="28"/>
      <x:c r="S48" s="28"/>
      <x:c r="T48" s="28"/>
    </x:row>
    <x:row r="49">
      <x:c r="A49" s="28" t="str">
        <x:f>IF(D49&lt;&gt;"",ROW()-3,"")</x:f>
      </x:c>
      <x:c r="B49" s="28"/>
      <x:c r="C49" s="28"/>
      <x:c r="D49" s="28"/>
      <x:c r="E49" s="28"/>
      <x:c r="F49" s="28"/>
      <x:c r="G49" s="28"/>
      <x:c r="H49" s="28"/>
      <x:c r="I49" s="28"/>
      <x:c r="J49" s="28"/>
      <x:c r="K49" s="28" t="str">
        <x:f>IF(AND(H49&lt;&gt;"",I49&lt;&gt;""),(I49-H49)/H49,"")</x:f>
      </x:c>
      <x:c r="L49" s="28"/>
      <x:c r="M49" s="28"/>
      <x:c r="N49" s="28" t="str">
        <x:f>IF(AND(H49&lt;&gt;"",M49&lt;&gt;""),(M49-H49)/H49,"")</x:f>
      </x:c>
      <x:c r="O49" s="28"/>
      <x:c r="P49" s="28"/>
      <x:c r="Q49" s="28"/>
      <x:c r="R49" s="28"/>
      <x:c r="S49" s="28"/>
      <x:c r="T49" s="28"/>
    </x:row>
    <x:row r="50">
      <x:c r="A50" s="28" t="str">
        <x:f>IF(D50&lt;&gt;"",ROW()-3,"")</x:f>
      </x:c>
      <x:c r="B50" s="28"/>
      <x:c r="C50" s="28"/>
      <x:c r="D50" s="28"/>
      <x:c r="E50" s="28"/>
      <x:c r="F50" s="28"/>
      <x:c r="G50" s="28"/>
      <x:c r="H50" s="28"/>
      <x:c r="I50" s="28"/>
      <x:c r="J50" s="28"/>
      <x:c r="K50" s="28" t="str">
        <x:f>IF(AND(H50&lt;&gt;"",I50&lt;&gt;""),(I50-H50)/H50,"")</x:f>
      </x:c>
      <x:c r="L50" s="28"/>
      <x:c r="M50" s="28"/>
      <x:c r="N50" s="28" t="str">
        <x:f>IF(AND(H50&lt;&gt;"",M50&lt;&gt;""),(M50-H50)/H50,"")</x:f>
      </x:c>
      <x:c r="O50" s="28"/>
      <x:c r="P50" s="28"/>
      <x:c r="Q50" s="28"/>
      <x:c r="R50" s="28"/>
      <x:c r="S50" s="28"/>
      <x:c r="T50" s="28"/>
    </x:row>
    <x:row r="51">
      <x:c r="A51" s="28" t="str">
        <x:f>IF(D51&lt;&gt;"",ROW()-3,"")</x:f>
      </x:c>
      <x:c r="B51" s="28"/>
      <x:c r="C51" s="28"/>
      <x:c r="D51" s="28"/>
      <x:c r="E51" s="28"/>
      <x:c r="F51" s="28"/>
      <x:c r="G51" s="28"/>
      <x:c r="H51" s="28"/>
      <x:c r="I51" s="28"/>
      <x:c r="J51" s="28"/>
      <x:c r="K51" s="28" t="str">
        <x:f>IF(AND(H51&lt;&gt;"",I51&lt;&gt;""),(I51-H51)/H51,"")</x:f>
      </x:c>
      <x:c r="L51" s="28"/>
      <x:c r="M51" s="28"/>
      <x:c r="N51" s="28" t="str">
        <x:f>IF(AND(H51&lt;&gt;"",M51&lt;&gt;""),(M51-H51)/H51,"")</x:f>
      </x:c>
      <x:c r="O51" s="28"/>
      <x:c r="P51" s="28"/>
      <x:c r="Q51" s="28"/>
      <x:c r="R51" s="28"/>
      <x:c r="S51" s="28"/>
      <x:c r="T51" s="28"/>
    </x:row>
    <x:row r="52">
      <x:c r="A52" s="28" t="str">
        <x:f>IF(D52&lt;&gt;"",ROW()-3,"")</x:f>
      </x:c>
      <x:c r="B52" s="28"/>
      <x:c r="C52" s="28"/>
      <x:c r="D52" s="28"/>
      <x:c r="E52" s="28"/>
      <x:c r="F52" s="28"/>
      <x:c r="G52" s="28"/>
      <x:c r="H52" s="28"/>
      <x:c r="I52" s="28"/>
      <x:c r="J52" s="28"/>
      <x:c r="K52" s="28" t="str">
        <x:f>IF(AND(H52&lt;&gt;"",I52&lt;&gt;""),(I52-H52)/H52,"")</x:f>
      </x:c>
      <x:c r="L52" s="28"/>
      <x:c r="M52" s="28"/>
      <x:c r="N52" s="28" t="str">
        <x:f>IF(AND(H52&lt;&gt;"",M52&lt;&gt;""),(M52-H52)/H52,"")</x:f>
      </x:c>
      <x:c r="O52" s="28"/>
      <x:c r="P52" s="28"/>
      <x:c r="Q52" s="28"/>
      <x:c r="R52" s="28"/>
      <x:c r="S52" s="28"/>
      <x:c r="T52" s="28"/>
    </x:row>
    <x:row r="53">
      <x:c r="A53" s="28" t="str">
        <x:f>IF(D53&lt;&gt;"",ROW()-3,"")</x:f>
      </x:c>
      <x:c r="B53" s="28"/>
      <x:c r="C53" s="28"/>
      <x:c r="D53" s="28"/>
      <x:c r="E53" s="28"/>
      <x:c r="F53" s="28"/>
      <x:c r="G53" s="28"/>
      <x:c r="H53" s="28"/>
      <x:c r="I53" s="28"/>
      <x:c r="J53" s="28"/>
      <x:c r="K53" s="28" t="str">
        <x:f>IF(AND(H53&lt;&gt;"",I53&lt;&gt;""),(I53-H53)/H53,"")</x:f>
      </x:c>
      <x:c r="L53" s="28"/>
      <x:c r="M53" s="28"/>
      <x:c r="N53" s="28" t="str">
        <x:f>IF(AND(H53&lt;&gt;"",M53&lt;&gt;""),(M53-H53)/H53,"")</x:f>
      </x:c>
      <x:c r="O53" s="28"/>
      <x:c r="P53" s="28"/>
      <x:c r="Q53" s="28"/>
      <x:c r="R53" s="28"/>
      <x:c r="S53" s="28"/>
      <x:c r="T53" s="28"/>
    </x:row>
    <x:row r="54">
      <x:c r="A54" s="28" t="str">
        <x:f>IF(D54&lt;&gt;"",ROW()-3,"")</x:f>
      </x:c>
      <x:c r="B54" s="28"/>
      <x:c r="C54" s="28"/>
      <x:c r="D54" s="28"/>
      <x:c r="E54" s="28"/>
      <x:c r="F54" s="28"/>
      <x:c r="G54" s="28"/>
      <x:c r="H54" s="28"/>
      <x:c r="I54" s="28"/>
      <x:c r="J54" s="28"/>
      <x:c r="K54" s="28" t="str">
        <x:f>IF(AND(H54&lt;&gt;"",I54&lt;&gt;""),(I54-H54)/H54,"")</x:f>
      </x:c>
      <x:c r="L54" s="28"/>
      <x:c r="M54" s="28"/>
      <x:c r="N54" s="28" t="str">
        <x:f>IF(AND(H54&lt;&gt;"",M54&lt;&gt;""),(M54-H54)/H54,"")</x:f>
      </x:c>
      <x:c r="O54" s="28"/>
      <x:c r="P54" s="28"/>
      <x:c r="Q54" s="28"/>
      <x:c r="R54" s="28"/>
      <x:c r="S54" s="28"/>
      <x:c r="T54" s="28"/>
    </x:row>
    <x:row r="55">
      <x:c r="A55" s="28" t="str">
        <x:f>IF(D55&lt;&gt;"",ROW()-3,"")</x:f>
      </x:c>
      <x:c r="B55" s="28"/>
      <x:c r="C55" s="28"/>
      <x:c r="D55" s="28"/>
      <x:c r="E55" s="28"/>
      <x:c r="F55" s="28"/>
      <x:c r="G55" s="28"/>
      <x:c r="H55" s="28"/>
      <x:c r="I55" s="28"/>
      <x:c r="J55" s="28"/>
      <x:c r="K55" s="28" t="str">
        <x:f>IF(AND(H55&lt;&gt;"",I55&lt;&gt;""),(I55-H55)/H55,"")</x:f>
      </x:c>
      <x:c r="L55" s="28"/>
      <x:c r="M55" s="28"/>
      <x:c r="N55" s="28" t="str">
        <x:f>IF(AND(H55&lt;&gt;"",M55&lt;&gt;""),(M55-H55)/H55,"")</x:f>
      </x:c>
      <x:c r="O55" s="28"/>
      <x:c r="P55" s="28"/>
      <x:c r="Q55" s="28"/>
      <x:c r="R55" s="28"/>
      <x:c r="S55" s="28"/>
      <x:c r="T55" s="28"/>
    </x:row>
    <x:row r="56">
      <x:c r="A56" s="28" t="str">
        <x:f>IF(D56&lt;&gt;"",ROW()-3,"")</x:f>
      </x:c>
      <x:c r="B56" s="28"/>
      <x:c r="C56" s="28"/>
      <x:c r="D56" s="28"/>
      <x:c r="E56" s="28"/>
      <x:c r="F56" s="28"/>
      <x:c r="G56" s="28"/>
      <x:c r="H56" s="28"/>
      <x:c r="I56" s="28"/>
      <x:c r="J56" s="28"/>
      <x:c r="K56" s="28" t="str">
        <x:f>IF(AND(H56&lt;&gt;"",I56&lt;&gt;""),(I56-H56)/H56,"")</x:f>
      </x:c>
      <x:c r="L56" s="28"/>
      <x:c r="M56" s="28"/>
      <x:c r="N56" s="28" t="str">
        <x:f>IF(AND(H56&lt;&gt;"",M56&lt;&gt;""),(M56-H56)/H56,"")</x:f>
      </x:c>
      <x:c r="O56" s="28"/>
      <x:c r="P56" s="28"/>
      <x:c r="Q56" s="28"/>
      <x:c r="R56" s="28"/>
      <x:c r="S56" s="28"/>
      <x:c r="T56" s="28"/>
    </x:row>
    <x:row r="57">
      <x:c r="A57" s="28" t="str">
        <x:f>IF(D57&lt;&gt;"",ROW()-3,"")</x:f>
      </x:c>
      <x:c r="B57" s="28"/>
      <x:c r="C57" s="28"/>
      <x:c r="D57" s="28"/>
      <x:c r="E57" s="28"/>
      <x:c r="F57" s="28"/>
      <x:c r="G57" s="28"/>
      <x:c r="H57" s="28"/>
      <x:c r="I57" s="28"/>
      <x:c r="J57" s="28"/>
      <x:c r="K57" s="28" t="str">
        <x:f>IF(AND(H57&lt;&gt;"",I57&lt;&gt;""),(I57-H57)/H57,"")</x:f>
      </x:c>
      <x:c r="L57" s="28"/>
      <x:c r="M57" s="28"/>
      <x:c r="N57" s="28" t="str">
        <x:f>IF(AND(H57&lt;&gt;"",M57&lt;&gt;""),(M57-H57)/H57,"")</x:f>
      </x:c>
      <x:c r="O57" s="28"/>
      <x:c r="P57" s="28"/>
      <x:c r="Q57" s="28"/>
      <x:c r="R57" s="28"/>
      <x:c r="S57" s="28"/>
      <x:c r="T57" s="28"/>
    </x:row>
    <x:row r="58">
      <x:c r="A58" s="28" t="str">
        <x:f>IF(D58&lt;&gt;"",ROW()-3,"")</x:f>
      </x:c>
      <x:c r="B58" s="28"/>
      <x:c r="C58" s="28"/>
      <x:c r="D58" s="28"/>
      <x:c r="E58" s="28"/>
      <x:c r="F58" s="28"/>
      <x:c r="G58" s="28"/>
      <x:c r="H58" s="28"/>
      <x:c r="I58" s="28"/>
      <x:c r="J58" s="28"/>
      <x:c r="K58" s="28" t="str">
        <x:f>IF(AND(H58&lt;&gt;"",I58&lt;&gt;""),(I58-H58)/H58,"")</x:f>
      </x:c>
      <x:c r="L58" s="28"/>
      <x:c r="M58" s="28"/>
      <x:c r="N58" s="28" t="str">
        <x:f>IF(AND(H58&lt;&gt;"",M58&lt;&gt;""),(M58-H58)/H58,"")</x:f>
      </x:c>
      <x:c r="O58" s="28"/>
      <x:c r="P58" s="28"/>
      <x:c r="Q58" s="28"/>
      <x:c r="R58" s="28"/>
      <x:c r="S58" s="28"/>
      <x:c r="T58" s="28"/>
    </x:row>
    <x:row r="59">
      <x:c r="A59" s="28" t="str">
        <x:f>IF(D59&lt;&gt;"",ROW()-3,"")</x:f>
      </x:c>
      <x:c r="B59" s="28"/>
      <x:c r="C59" s="28"/>
      <x:c r="D59" s="28"/>
      <x:c r="E59" s="28"/>
      <x:c r="F59" s="28"/>
      <x:c r="G59" s="28"/>
      <x:c r="H59" s="28"/>
      <x:c r="I59" s="28"/>
      <x:c r="J59" s="28"/>
      <x:c r="K59" s="28" t="str">
        <x:f>IF(AND(H59&lt;&gt;"",I59&lt;&gt;""),(I59-H59)/H59,"")</x:f>
      </x:c>
      <x:c r="L59" s="28"/>
      <x:c r="M59" s="28"/>
      <x:c r="N59" s="28" t="str">
        <x:f>IF(AND(H59&lt;&gt;"",M59&lt;&gt;""),(M59-H59)/H59,"")</x:f>
      </x:c>
      <x:c r="O59" s="28"/>
      <x:c r="P59" s="28"/>
      <x:c r="Q59" s="28"/>
      <x:c r="R59" s="28"/>
      <x:c r="S59" s="28"/>
      <x:c r="T59" s="28"/>
    </x:row>
    <x:row r="60">
      <x:c r="A60" s="28" t="str">
        <x:f>IF(D60&lt;&gt;"",ROW()-3,"")</x:f>
      </x:c>
      <x:c r="B60" s="28"/>
      <x:c r="C60" s="28"/>
      <x:c r="D60" s="28"/>
      <x:c r="E60" s="28"/>
      <x:c r="F60" s="28"/>
      <x:c r="G60" s="28"/>
      <x:c r="H60" s="28"/>
      <x:c r="I60" s="28"/>
      <x:c r="J60" s="28"/>
      <x:c r="K60" s="28" t="str">
        <x:f>IF(AND(H60&lt;&gt;"",I60&lt;&gt;""),(I60-H60)/H60,"")</x:f>
      </x:c>
      <x:c r="L60" s="28"/>
      <x:c r="M60" s="28"/>
      <x:c r="N60" s="28" t="str">
        <x:f>IF(AND(H60&lt;&gt;"",M60&lt;&gt;""),(M60-H60)/H60,"")</x:f>
      </x:c>
      <x:c r="O60" s="28"/>
      <x:c r="P60" s="28"/>
      <x:c r="Q60" s="28"/>
      <x:c r="R60" s="28"/>
      <x:c r="S60" s="28"/>
      <x:c r="T60" s="28"/>
    </x:row>
    <x:row r="61">
      <x:c r="A61" s="28" t="str">
        <x:f>IF(D61&lt;&gt;"",ROW()-3,"")</x:f>
      </x:c>
      <x:c r="B61" s="28"/>
      <x:c r="C61" s="28"/>
      <x:c r="D61" s="28"/>
      <x:c r="E61" s="28"/>
      <x:c r="F61" s="28"/>
      <x:c r="G61" s="28"/>
      <x:c r="H61" s="28"/>
      <x:c r="I61" s="28"/>
      <x:c r="J61" s="28"/>
      <x:c r="K61" s="28" t="str">
        <x:f>IF(AND(H61&lt;&gt;"",I61&lt;&gt;""),(I61-H61)/H61,"")</x:f>
      </x:c>
      <x:c r="L61" s="28"/>
      <x:c r="M61" s="28"/>
      <x:c r="N61" s="28" t="str">
        <x:f>IF(AND(H61&lt;&gt;"",M61&lt;&gt;""),(M61-H61)/H61,"")</x:f>
      </x:c>
      <x:c r="O61" s="28"/>
      <x:c r="P61" s="28"/>
      <x:c r="Q61" s="28"/>
      <x:c r="R61" s="28"/>
      <x:c r="S61" s="28"/>
      <x:c r="T61" s="28"/>
    </x:row>
    <x:row r="62">
      <x:c r="A62" s="28" t="str">
        <x:f>IF(D62&lt;&gt;"",ROW()-3,"")</x:f>
      </x:c>
      <x:c r="B62" s="28"/>
      <x:c r="C62" s="28"/>
      <x:c r="D62" s="28"/>
      <x:c r="E62" s="28"/>
      <x:c r="F62" s="28"/>
      <x:c r="G62" s="28"/>
      <x:c r="H62" s="28"/>
      <x:c r="I62" s="28"/>
      <x:c r="J62" s="28"/>
      <x:c r="K62" s="28" t="str">
        <x:f>IF(AND(H62&lt;&gt;"",I62&lt;&gt;""),(I62-H62)/H62,"")</x:f>
      </x:c>
      <x:c r="L62" s="28"/>
      <x:c r="M62" s="28"/>
      <x:c r="N62" s="28" t="str">
        <x:f>IF(AND(H62&lt;&gt;"",M62&lt;&gt;""),(M62-H62)/H62,"")</x:f>
      </x:c>
      <x:c r="O62" s="28"/>
      <x:c r="P62" s="28"/>
      <x:c r="Q62" s="28"/>
      <x:c r="R62" s="28"/>
      <x:c r="S62" s="28"/>
      <x:c r="T62" s="28"/>
    </x:row>
    <x:row r="63">
      <x:c r="A63" s="28" t="str">
        <x:f>IF(D63&lt;&gt;"",ROW()-3,"")</x:f>
      </x:c>
      <x:c r="B63" s="28"/>
      <x:c r="C63" s="28"/>
      <x:c r="D63" s="28"/>
      <x:c r="E63" s="28"/>
      <x:c r="F63" s="28"/>
      <x:c r="G63" s="28"/>
      <x:c r="H63" s="28"/>
      <x:c r="I63" s="28"/>
      <x:c r="J63" s="28"/>
      <x:c r="K63" s="28" t="str">
        <x:f>IF(AND(H63&lt;&gt;"",I63&lt;&gt;""),(I63-H63)/H63,"")</x:f>
      </x:c>
      <x:c r="L63" s="28"/>
      <x:c r="M63" s="28"/>
      <x:c r="N63" s="28" t="str">
        <x:f>IF(AND(H63&lt;&gt;"",M63&lt;&gt;""),(M63-H63)/H63,"")</x:f>
      </x:c>
      <x:c r="O63" s="28"/>
      <x:c r="P63" s="28"/>
      <x:c r="Q63" s="28"/>
      <x:c r="R63" s="28"/>
      <x:c r="S63" s="28"/>
      <x:c r="T63" s="28"/>
    </x:row>
    <x:row r="64">
      <x:c r="A64" s="28" t="str">
        <x:f>IF(D64&lt;&gt;"",ROW()-3,"")</x:f>
      </x:c>
      <x:c r="B64" s="28"/>
      <x:c r="C64" s="28"/>
      <x:c r="D64" s="28"/>
      <x:c r="E64" s="28"/>
      <x:c r="F64" s="28"/>
      <x:c r="G64" s="28"/>
      <x:c r="H64" s="28"/>
      <x:c r="I64" s="28"/>
      <x:c r="J64" s="28"/>
      <x:c r="K64" s="28" t="str">
        <x:f>IF(AND(H64&lt;&gt;"",I64&lt;&gt;""),(I64-H64)/H64,"")</x:f>
      </x:c>
      <x:c r="L64" s="28"/>
      <x:c r="M64" s="28"/>
      <x:c r="N64" s="28" t="str">
        <x:f>IF(AND(H64&lt;&gt;"",M64&lt;&gt;""),(M64-H64)/H64,"")</x:f>
      </x:c>
      <x:c r="O64" s="28"/>
      <x:c r="P64" s="28"/>
      <x:c r="Q64" s="28"/>
      <x:c r="R64" s="28"/>
      <x:c r="S64" s="28"/>
      <x:c r="T64" s="28"/>
    </x:row>
    <x:row r="65">
      <x:c r="A65" s="28" t="str">
        <x:f>IF(D65&lt;&gt;"",ROW()-3,"")</x:f>
      </x:c>
      <x:c r="B65" s="28"/>
      <x:c r="C65" s="28"/>
      <x:c r="D65" s="28"/>
      <x:c r="E65" s="28"/>
      <x:c r="F65" s="28"/>
      <x:c r="G65" s="28"/>
      <x:c r="H65" s="28"/>
      <x:c r="I65" s="28"/>
      <x:c r="J65" s="28"/>
      <x:c r="K65" s="28" t="str">
        <x:f>IF(AND(H65&lt;&gt;"",I65&lt;&gt;""),(I65-H65)/H65,"")</x:f>
      </x:c>
      <x:c r="L65" s="28"/>
      <x:c r="M65" s="28"/>
      <x:c r="N65" s="28" t="str">
        <x:f>IF(AND(H65&lt;&gt;"",M65&lt;&gt;""),(M65-H65)/H65,"")</x:f>
      </x:c>
      <x:c r="O65" s="28"/>
      <x:c r="P65" s="28"/>
      <x:c r="Q65" s="28"/>
      <x:c r="R65" s="28"/>
      <x:c r="S65" s="28"/>
      <x:c r="T65" s="28"/>
    </x:row>
    <x:row r="66">
      <x:c r="A66" s="28" t="str">
        <x:f>IF(D66&lt;&gt;"",ROW()-3,"")</x:f>
      </x:c>
      <x:c r="B66" s="28"/>
      <x:c r="C66" s="28"/>
      <x:c r="D66" s="28"/>
      <x:c r="E66" s="28"/>
      <x:c r="F66" s="28"/>
      <x:c r="G66" s="28"/>
      <x:c r="H66" s="28"/>
      <x:c r="I66" s="28"/>
      <x:c r="J66" s="28"/>
      <x:c r="K66" s="28" t="str">
        <x:f>IF(AND(H66&lt;&gt;"",I66&lt;&gt;""),(I66-H66)/H66,"")</x:f>
      </x:c>
      <x:c r="L66" s="28"/>
      <x:c r="M66" s="28"/>
      <x:c r="N66" s="28" t="str">
        <x:f>IF(AND(H66&lt;&gt;"",M66&lt;&gt;""),(M66-H66)/H66,"")</x:f>
      </x:c>
      <x:c r="O66" s="28"/>
      <x:c r="P66" s="28"/>
      <x:c r="Q66" s="28"/>
      <x:c r="R66" s="28"/>
      <x:c r="S66" s="28"/>
      <x:c r="T66" s="28"/>
    </x:row>
    <x:row r="67">
      <x:c r="A67" s="28" t="str">
        <x:f>IF(D67&lt;&gt;"",ROW()-3,"")</x:f>
      </x:c>
      <x:c r="B67" s="28"/>
      <x:c r="C67" s="28"/>
      <x:c r="D67" s="28"/>
      <x:c r="E67" s="28"/>
      <x:c r="F67" s="28"/>
      <x:c r="G67" s="28"/>
      <x:c r="H67" s="28"/>
      <x:c r="I67" s="28"/>
      <x:c r="J67" s="28"/>
      <x:c r="K67" s="28" t="str">
        <x:f>IF(AND(H67&lt;&gt;"",I67&lt;&gt;""),(I67-H67)/H67,"")</x:f>
      </x:c>
      <x:c r="L67" s="28"/>
      <x:c r="M67" s="28"/>
      <x:c r="N67" s="28" t="str">
        <x:f>IF(AND(H67&lt;&gt;"",M67&lt;&gt;""),(M67-H67)/H67,"")</x:f>
      </x:c>
      <x:c r="O67" s="28"/>
      <x:c r="P67" s="28"/>
      <x:c r="Q67" s="28"/>
      <x:c r="R67" s="28"/>
      <x:c r="S67" s="28"/>
      <x:c r="T67" s="28"/>
    </x:row>
    <x:row r="68">
      <x:c r="A68" s="28" t="str">
        <x:f>IF(D68&lt;&gt;"",ROW()-3,"")</x:f>
      </x:c>
      <x:c r="B68" s="28"/>
      <x:c r="C68" s="28"/>
      <x:c r="D68" s="28"/>
      <x:c r="E68" s="28"/>
      <x:c r="F68" s="28"/>
      <x:c r="G68" s="28"/>
      <x:c r="H68" s="28"/>
      <x:c r="I68" s="28"/>
      <x:c r="J68" s="28"/>
      <x:c r="K68" s="28" t="str">
        <x:f>IF(AND(H68&lt;&gt;"",I68&lt;&gt;""),(I68-H68)/H68,"")</x:f>
      </x:c>
      <x:c r="L68" s="28"/>
      <x:c r="M68" s="28"/>
      <x:c r="N68" s="28" t="str">
        <x:f>IF(AND(H68&lt;&gt;"",M68&lt;&gt;""),(M68-H68)/H68,"")</x:f>
      </x:c>
      <x:c r="O68" s="28"/>
      <x:c r="P68" s="28"/>
      <x:c r="Q68" s="28"/>
      <x:c r="R68" s="28"/>
      <x:c r="S68" s="28"/>
      <x:c r="T68" s="28"/>
    </x:row>
    <x:row r="69">
      <x:c r="A69" s="28" t="str">
        <x:f>IF(D69&lt;&gt;"",ROW()-3,"")</x:f>
      </x:c>
      <x:c r="B69" s="28"/>
      <x:c r="C69" s="28"/>
      <x:c r="D69" s="28"/>
      <x:c r="E69" s="28"/>
      <x:c r="F69" s="28"/>
      <x:c r="G69" s="28"/>
      <x:c r="H69" s="28"/>
      <x:c r="I69" s="28"/>
      <x:c r="J69" s="28"/>
      <x:c r="K69" s="28" t="str">
        <x:f>IF(AND(H69&lt;&gt;"",I69&lt;&gt;""),(I69-H69)/H69,"")</x:f>
      </x:c>
      <x:c r="L69" s="28"/>
      <x:c r="M69" s="28"/>
      <x:c r="N69" s="28" t="str">
        <x:f>IF(AND(H69&lt;&gt;"",M69&lt;&gt;""),(M69-H69)/H69,"")</x:f>
      </x:c>
      <x:c r="O69" s="28"/>
      <x:c r="P69" s="28"/>
      <x:c r="Q69" s="28"/>
      <x:c r="R69" s="28"/>
      <x:c r="S69" s="28"/>
      <x:c r="T69" s="28"/>
    </x:row>
    <x:row r="70">
      <x:c r="A70" s="28" t="str">
        <x:f>IF(D70&lt;&gt;"",ROW()-3,"")</x:f>
      </x:c>
      <x:c r="B70" s="28"/>
      <x:c r="C70" s="28"/>
      <x:c r="D70" s="28"/>
      <x:c r="E70" s="28"/>
      <x:c r="F70" s="28"/>
      <x:c r="G70" s="28"/>
      <x:c r="H70" s="28"/>
      <x:c r="I70" s="28"/>
      <x:c r="J70" s="28"/>
      <x:c r="K70" s="28" t="str">
        <x:f>IF(AND(H70&lt;&gt;"",I70&lt;&gt;""),(I70-H70)/H70,"")</x:f>
      </x:c>
      <x:c r="L70" s="28"/>
      <x:c r="M70" s="28"/>
      <x:c r="N70" s="28" t="str">
        <x:f>IF(AND(H70&lt;&gt;"",M70&lt;&gt;""),(M70-H70)/H70,"")</x:f>
      </x:c>
      <x:c r="O70" s="28"/>
      <x:c r="P70" s="28"/>
      <x:c r="Q70" s="28"/>
      <x:c r="R70" s="28"/>
      <x:c r="S70" s="28"/>
      <x:c r="T70" s="28"/>
    </x:row>
    <x:row r="71">
      <x:c r="A71" s="28" t="str">
        <x:f>IF(D71&lt;&gt;"",ROW()-3,"")</x:f>
      </x:c>
      <x:c r="B71" s="28"/>
      <x:c r="C71" s="28"/>
      <x:c r="D71" s="28"/>
      <x:c r="E71" s="28"/>
      <x:c r="F71" s="28"/>
      <x:c r="G71" s="28"/>
      <x:c r="H71" s="28"/>
      <x:c r="I71" s="28"/>
      <x:c r="J71" s="28"/>
      <x:c r="K71" s="28" t="str">
        <x:f>IF(AND(H71&lt;&gt;"",I71&lt;&gt;""),(I71-H71)/H71,"")</x:f>
      </x:c>
      <x:c r="L71" s="28"/>
      <x:c r="M71" s="28"/>
      <x:c r="N71" s="28" t="str">
        <x:f>IF(AND(H71&lt;&gt;"",M71&lt;&gt;""),(M71-H71)/H71,"")</x:f>
      </x:c>
      <x:c r="O71" s="28"/>
      <x:c r="P71" s="28"/>
      <x:c r="Q71" s="28"/>
      <x:c r="R71" s="28"/>
      <x:c r="S71" s="28"/>
      <x:c r="T71" s="28"/>
    </x:row>
    <x:row r="72">
      <x:c r="A72" s="28" t="str">
        <x:f>IF(D72&lt;&gt;"",ROW()-3,"")</x:f>
      </x:c>
      <x:c r="B72" s="28"/>
      <x:c r="C72" s="28"/>
      <x:c r="D72" s="28"/>
      <x:c r="E72" s="28"/>
      <x:c r="F72" s="28"/>
      <x:c r="G72" s="28"/>
      <x:c r="H72" s="28"/>
      <x:c r="I72" s="28"/>
      <x:c r="J72" s="28"/>
      <x:c r="K72" s="28" t="str">
        <x:f>IF(AND(H72&lt;&gt;"",I72&lt;&gt;""),(I72-H72)/H72,"")</x:f>
      </x:c>
      <x:c r="L72" s="28"/>
      <x:c r="M72" s="28"/>
      <x:c r="N72" s="28" t="str">
        <x:f>IF(AND(H72&lt;&gt;"",M72&lt;&gt;""),(M72-H72)/H72,"")</x:f>
      </x:c>
      <x:c r="O72" s="28"/>
      <x:c r="P72" s="28"/>
      <x:c r="Q72" s="28"/>
      <x:c r="R72" s="28"/>
      <x:c r="S72" s="28"/>
      <x:c r="T72" s="28"/>
    </x:row>
    <x:row r="73">
      <x:c r="A73" s="28" t="str">
        <x:f>IF(D73&lt;&gt;"",ROW()-3,"")</x:f>
      </x:c>
      <x:c r="B73" s="28"/>
      <x:c r="C73" s="28"/>
      <x:c r="D73" s="28"/>
      <x:c r="E73" s="28"/>
      <x:c r="F73" s="28"/>
      <x:c r="G73" s="28"/>
      <x:c r="H73" s="28"/>
      <x:c r="I73" s="28"/>
      <x:c r="J73" s="28"/>
      <x:c r="K73" s="28" t="str">
        <x:f>IF(AND(H73&lt;&gt;"",I73&lt;&gt;""),(I73-H73)/H73,"")</x:f>
      </x:c>
      <x:c r="L73" s="28"/>
      <x:c r="M73" s="28"/>
      <x:c r="N73" s="28" t="str">
        <x:f>IF(AND(H73&lt;&gt;"",M73&lt;&gt;""),(M73-H73)/H73,"")</x:f>
      </x:c>
      <x:c r="O73" s="28"/>
      <x:c r="P73" s="28"/>
      <x:c r="Q73" s="28"/>
      <x:c r="R73" s="28"/>
      <x:c r="S73" s="28"/>
      <x:c r="T73" s="28"/>
    </x:row>
    <x:row r="74">
      <x:c r="A74" s="28" t="str">
        <x:f>IF(D74&lt;&gt;"",ROW()-3,"")</x:f>
      </x:c>
      <x:c r="B74" s="28"/>
      <x:c r="C74" s="28"/>
      <x:c r="D74" s="28"/>
      <x:c r="E74" s="28"/>
      <x:c r="F74" s="28"/>
      <x:c r="G74" s="28"/>
      <x:c r="H74" s="28"/>
      <x:c r="I74" s="28"/>
      <x:c r="J74" s="28"/>
      <x:c r="K74" s="28" t="str">
        <x:f>IF(AND(H74&lt;&gt;"",I74&lt;&gt;""),(I74-H74)/H74,"")</x:f>
      </x:c>
      <x:c r="L74" s="28"/>
      <x:c r="M74" s="28"/>
      <x:c r="N74" s="28" t="str">
        <x:f>IF(AND(H74&lt;&gt;"",M74&lt;&gt;""),(M74-H74)/H74,"")</x:f>
      </x:c>
      <x:c r="O74" s="28"/>
      <x:c r="P74" s="28"/>
      <x:c r="Q74" s="28"/>
      <x:c r="R74" s="28"/>
      <x:c r="S74" s="28"/>
      <x:c r="T74" s="28"/>
    </x:row>
    <x:row r="75">
      <x:c r="A75" s="28" t="str">
        <x:f>IF(D75&lt;&gt;"",ROW()-3,"")</x:f>
      </x:c>
      <x:c r="B75" s="28"/>
      <x:c r="C75" s="28"/>
      <x:c r="D75" s="28"/>
      <x:c r="E75" s="28"/>
      <x:c r="F75" s="28"/>
      <x:c r="G75" s="28"/>
      <x:c r="H75" s="28"/>
      <x:c r="I75" s="28"/>
      <x:c r="J75" s="28"/>
      <x:c r="K75" s="28" t="str">
        <x:f>IF(AND(H75&lt;&gt;"",I75&lt;&gt;""),(I75-H75)/H75,"")</x:f>
      </x:c>
      <x:c r="L75" s="28"/>
      <x:c r="M75" s="28"/>
      <x:c r="N75" s="28" t="str">
        <x:f>IF(AND(H75&lt;&gt;"",M75&lt;&gt;""),(M75-H75)/H75,"")</x:f>
      </x:c>
      <x:c r="O75" s="28"/>
      <x:c r="P75" s="28"/>
      <x:c r="Q75" s="28"/>
      <x:c r="R75" s="28"/>
      <x:c r="S75" s="28"/>
      <x:c r="T75" s="28"/>
    </x:row>
    <x:row r="76">
      <x:c r="A76" s="28" t="str">
        <x:f>IF(D76&lt;&gt;"",ROW()-3,"")</x:f>
      </x:c>
      <x:c r="B76" s="28"/>
      <x:c r="C76" s="28"/>
      <x:c r="D76" s="28"/>
      <x:c r="E76" s="28"/>
      <x:c r="F76" s="28"/>
      <x:c r="G76" s="28"/>
      <x:c r="H76" s="28"/>
      <x:c r="I76" s="28"/>
      <x:c r="J76" s="28"/>
      <x:c r="K76" s="28" t="str">
        <x:f>IF(AND(H76&lt;&gt;"",I76&lt;&gt;""),(I76-H76)/H76,"")</x:f>
      </x:c>
      <x:c r="L76" s="28"/>
      <x:c r="M76" s="28"/>
      <x:c r="N76" s="28" t="str">
        <x:f>IF(AND(H76&lt;&gt;"",M76&lt;&gt;""),(M76-H76)/H76,"")</x:f>
      </x:c>
      <x:c r="O76" s="28"/>
      <x:c r="P76" s="28"/>
      <x:c r="Q76" s="28"/>
      <x:c r="R76" s="28"/>
      <x:c r="S76" s="28"/>
      <x:c r="T76" s="28"/>
    </x:row>
    <x:row r="77">
      <x:c r="A77" s="28" t="str">
        <x:f>IF(D77&lt;&gt;"",ROW()-3,"")</x:f>
      </x:c>
      <x:c r="B77" s="28"/>
      <x:c r="C77" s="28"/>
      <x:c r="D77" s="28"/>
      <x:c r="E77" s="28"/>
      <x:c r="F77" s="28"/>
      <x:c r="G77" s="28"/>
      <x:c r="H77" s="28"/>
      <x:c r="I77" s="28"/>
      <x:c r="J77" s="28"/>
      <x:c r="K77" s="28" t="str">
        <x:f>IF(AND(H77&lt;&gt;"",I77&lt;&gt;""),(I77-H77)/H77,"")</x:f>
      </x:c>
      <x:c r="L77" s="28"/>
      <x:c r="M77" s="28"/>
      <x:c r="N77" s="28" t="str">
        <x:f>IF(AND(H77&lt;&gt;"",M77&lt;&gt;""),(M77-H77)/H77,"")</x:f>
      </x:c>
      <x:c r="O77" s="28"/>
      <x:c r="P77" s="28"/>
      <x:c r="Q77" s="28"/>
      <x:c r="R77" s="28"/>
      <x:c r="S77" s="28"/>
      <x:c r="T77" s="28"/>
    </x:row>
    <x:row r="78">
      <x:c r="A78" s="28" t="str">
        <x:f>IF(D78&lt;&gt;"",ROW()-3,"")</x:f>
      </x:c>
      <x:c r="B78" s="28"/>
      <x:c r="C78" s="28"/>
      <x:c r="D78" s="28"/>
      <x:c r="E78" s="28"/>
      <x:c r="F78" s="28"/>
      <x:c r="G78" s="28"/>
      <x:c r="H78" s="28"/>
      <x:c r="I78" s="28"/>
      <x:c r="J78" s="28"/>
      <x:c r="K78" s="28" t="str">
        <x:f>IF(AND(H78&lt;&gt;"",I78&lt;&gt;""),(I78-H78)/H78,"")</x:f>
      </x:c>
      <x:c r="L78" s="28"/>
      <x:c r="M78" s="28"/>
      <x:c r="N78" s="28" t="str">
        <x:f>IF(AND(H78&lt;&gt;"",M78&lt;&gt;""),(M78-H78)/H78,"")</x:f>
      </x:c>
      <x:c r="O78" s="28"/>
      <x:c r="P78" s="28"/>
      <x:c r="Q78" s="28"/>
      <x:c r="R78" s="28"/>
      <x:c r="S78" s="28"/>
      <x:c r="T78" s="28"/>
    </x:row>
    <x:row r="79">
      <x:c r="A79" s="28" t="str">
        <x:f>IF(D79&lt;&gt;"",ROW()-3,"")</x:f>
      </x:c>
      <x:c r="B79" s="28"/>
      <x:c r="C79" s="28"/>
      <x:c r="D79" s="28"/>
      <x:c r="E79" s="28"/>
      <x:c r="F79" s="28"/>
      <x:c r="G79" s="28"/>
      <x:c r="H79" s="28"/>
      <x:c r="I79" s="28"/>
      <x:c r="J79" s="28"/>
      <x:c r="K79" s="28" t="str">
        <x:f>IF(AND(H79&lt;&gt;"",I79&lt;&gt;""),(I79-H79)/H79,"")</x:f>
      </x:c>
      <x:c r="L79" s="28"/>
      <x:c r="M79" s="28"/>
      <x:c r="N79" s="28" t="str">
        <x:f>IF(AND(H79&lt;&gt;"",M79&lt;&gt;""),(M79-H79)/H79,"")</x:f>
      </x:c>
      <x:c r="O79" s="28"/>
      <x:c r="P79" s="28"/>
      <x:c r="Q79" s="28"/>
      <x:c r="R79" s="28"/>
      <x:c r="S79" s="28"/>
      <x:c r="T79" s="28"/>
    </x:row>
    <x:row r="80">
      <x:c r="A80" s="28" t="str">
        <x:f>IF(D80&lt;&gt;"",ROW()-3,"")</x:f>
      </x:c>
      <x:c r="B80" s="28"/>
      <x:c r="C80" s="28"/>
      <x:c r="D80" s="28"/>
      <x:c r="E80" s="28"/>
      <x:c r="F80" s="28"/>
      <x:c r="G80" s="28"/>
      <x:c r="H80" s="28"/>
      <x:c r="I80" s="28"/>
      <x:c r="J80" s="28"/>
      <x:c r="K80" s="28" t="str">
        <x:f>IF(AND(H80&lt;&gt;"",I80&lt;&gt;""),(I80-H80)/H80,"")</x:f>
      </x:c>
      <x:c r="L80" s="28"/>
      <x:c r="M80" s="28"/>
      <x:c r="N80" s="28" t="str">
        <x:f>IF(AND(H80&lt;&gt;"",M80&lt;&gt;""),(M80-H80)/H80,"")</x:f>
      </x:c>
      <x:c r="O80" s="28"/>
      <x:c r="P80" s="28"/>
      <x:c r="Q80" s="28"/>
      <x:c r="R80" s="28"/>
      <x:c r="S80" s="28"/>
      <x:c r="T80" s="28"/>
    </x:row>
    <x:row r="81">
      <x:c r="A81" s="28" t="str">
        <x:f>IF(D81&lt;&gt;"",ROW()-3,"")</x:f>
      </x:c>
      <x:c r="B81" s="28"/>
      <x:c r="C81" s="28"/>
      <x:c r="D81" s="28"/>
      <x:c r="E81" s="28"/>
      <x:c r="F81" s="28"/>
      <x:c r="G81" s="28"/>
      <x:c r="H81" s="28"/>
      <x:c r="I81" s="28"/>
      <x:c r="J81" s="28"/>
      <x:c r="K81" s="28" t="str">
        <x:f>IF(AND(H81&lt;&gt;"",I81&lt;&gt;""),(I81-H81)/H81,"")</x:f>
      </x:c>
      <x:c r="L81" s="28"/>
      <x:c r="M81" s="28"/>
      <x:c r="N81" s="28" t="str">
        <x:f>IF(AND(H81&lt;&gt;"",M81&lt;&gt;""),(M81-H81)/H81,"")</x:f>
      </x:c>
      <x:c r="O81" s="28"/>
      <x:c r="P81" s="28"/>
      <x:c r="Q81" s="28"/>
      <x:c r="R81" s="28"/>
      <x:c r="S81" s="28"/>
      <x:c r="T81" s="28"/>
    </x:row>
    <x:row r="82">
      <x:c r="A82" s="28" t="str">
        <x:f>IF(D82&lt;&gt;"",ROW()-3,"")</x:f>
      </x:c>
      <x:c r="B82" s="28"/>
      <x:c r="C82" s="28"/>
      <x:c r="D82" s="28"/>
      <x:c r="E82" s="28"/>
      <x:c r="F82" s="28"/>
      <x:c r="G82" s="28"/>
      <x:c r="H82" s="28"/>
      <x:c r="I82" s="28"/>
      <x:c r="J82" s="28"/>
      <x:c r="K82" s="28" t="str">
        <x:f>IF(AND(H82&lt;&gt;"",I82&lt;&gt;""),(I82-H82)/H82,"")</x:f>
      </x:c>
      <x:c r="L82" s="28"/>
      <x:c r="M82" s="28"/>
      <x:c r="N82" s="28" t="str">
        <x:f>IF(AND(H82&lt;&gt;"",M82&lt;&gt;""),(M82-H82)/H82,"")</x:f>
      </x:c>
      <x:c r="O82" s="28"/>
      <x:c r="P82" s="28"/>
      <x:c r="Q82" s="28"/>
      <x:c r="R82" s="28"/>
      <x:c r="S82" s="28"/>
      <x:c r="T82" s="28"/>
    </x:row>
    <x:row r="83">
      <x:c r="A83" s="28" t="str">
        <x:f>IF(D83&lt;&gt;"",ROW()-3,"")</x:f>
      </x:c>
      <x:c r="B83" s="28"/>
      <x:c r="C83" s="28"/>
      <x:c r="D83" s="28"/>
      <x:c r="E83" s="28"/>
      <x:c r="F83" s="28"/>
      <x:c r="G83" s="28"/>
      <x:c r="H83" s="28"/>
      <x:c r="I83" s="28"/>
      <x:c r="J83" s="28"/>
      <x:c r="K83" s="28" t="str">
        <x:f>IF(AND(H83&lt;&gt;"",I83&lt;&gt;""),(I83-H83)/H83,"")</x:f>
      </x:c>
      <x:c r="L83" s="28"/>
      <x:c r="M83" s="28"/>
      <x:c r="N83" s="28" t="str">
        <x:f>IF(AND(H83&lt;&gt;"",M83&lt;&gt;""),(M83-H83)/H83,"")</x:f>
      </x:c>
      <x:c r="O83" s="28"/>
      <x:c r="P83" s="28"/>
      <x:c r="Q83" s="28"/>
      <x:c r="R83" s="28"/>
      <x:c r="S83" s="28"/>
      <x:c r="T83" s="28"/>
    </x:row>
    <x:row r="84">
      <x:c r="A84" s="28" t="str">
        <x:f>IF(D84&lt;&gt;"",ROW()-3,"")</x:f>
      </x:c>
      <x:c r="B84" s="28"/>
      <x:c r="C84" s="28"/>
      <x:c r="D84" s="28"/>
      <x:c r="E84" s="28"/>
      <x:c r="F84" s="28"/>
      <x:c r="G84" s="28"/>
      <x:c r="H84" s="28"/>
      <x:c r="I84" s="28"/>
      <x:c r="J84" s="28"/>
      <x:c r="K84" s="28" t="str">
        <x:f>IF(AND(H84&lt;&gt;"",I84&lt;&gt;""),(I84-H84)/H84,"")</x:f>
      </x:c>
      <x:c r="L84" s="28"/>
      <x:c r="M84" s="28"/>
      <x:c r="N84" s="28" t="str">
        <x:f>IF(AND(H84&lt;&gt;"",M84&lt;&gt;""),(M84-H84)/H84,"")</x:f>
      </x:c>
      <x:c r="O84" s="28"/>
      <x:c r="P84" s="28"/>
      <x:c r="Q84" s="28"/>
      <x:c r="R84" s="28"/>
      <x:c r="S84" s="28"/>
      <x:c r="T84" s="28"/>
    </x:row>
    <x:row r="85">
      <x:c r="A85" s="28" t="str">
        <x:f>IF(D85&lt;&gt;"",ROW()-3,"")</x:f>
      </x:c>
      <x:c r="B85" s="28"/>
      <x:c r="C85" s="28"/>
      <x:c r="D85" s="28"/>
      <x:c r="E85" s="28"/>
      <x:c r="F85" s="28"/>
      <x:c r="G85" s="28"/>
      <x:c r="H85" s="28"/>
      <x:c r="I85" s="28"/>
      <x:c r="J85" s="28"/>
      <x:c r="K85" s="28" t="str">
        <x:f>IF(AND(H85&lt;&gt;"",I85&lt;&gt;""),(I85-H85)/H85,"")</x:f>
      </x:c>
      <x:c r="L85" s="28"/>
      <x:c r="M85" s="28"/>
      <x:c r="N85" s="28" t="str">
        <x:f>IF(AND(H85&lt;&gt;"",M85&lt;&gt;""),(M85-H85)/H85,"")</x:f>
      </x:c>
      <x:c r="O85" s="28"/>
      <x:c r="P85" s="28"/>
      <x:c r="Q85" s="28"/>
      <x:c r="R85" s="28"/>
      <x:c r="S85" s="28"/>
      <x:c r="T85" s="28"/>
    </x:row>
    <x:row r="86">
      <x:c r="A86" s="28" t="str">
        <x:f>IF(D86&lt;&gt;"",ROW()-3,"")</x:f>
      </x:c>
      <x:c r="B86" s="28"/>
      <x:c r="C86" s="28"/>
      <x:c r="D86" s="28"/>
      <x:c r="E86" s="28"/>
      <x:c r="F86" s="28"/>
      <x:c r="G86" s="28"/>
      <x:c r="H86" s="28"/>
      <x:c r="I86" s="28"/>
      <x:c r="J86" s="28"/>
      <x:c r="K86" s="28" t="str">
        <x:f>IF(AND(H86&lt;&gt;"",I86&lt;&gt;""),(I86-H86)/H86,"")</x:f>
      </x:c>
      <x:c r="L86" s="28"/>
      <x:c r="M86" s="28"/>
      <x:c r="N86" s="28" t="str">
        <x:f>IF(AND(H86&lt;&gt;"",M86&lt;&gt;""),(M86-H86)/H86,"")</x:f>
      </x:c>
      <x:c r="O86" s="28"/>
      <x:c r="P86" s="28"/>
      <x:c r="Q86" s="28"/>
      <x:c r="R86" s="28"/>
      <x:c r="S86" s="28"/>
      <x:c r="T86" s="28"/>
    </x:row>
    <x:row r="87">
      <x:c r="A87" s="28" t="str">
        <x:f>IF(D87&lt;&gt;"",ROW()-3,"")</x:f>
      </x:c>
      <x:c r="B87" s="28"/>
      <x:c r="C87" s="28"/>
      <x:c r="D87" s="28"/>
      <x:c r="E87" s="28"/>
      <x:c r="F87" s="28"/>
      <x:c r="G87" s="28"/>
      <x:c r="H87" s="28"/>
      <x:c r="I87" s="28"/>
      <x:c r="J87" s="28"/>
      <x:c r="K87" s="28" t="str">
        <x:f>IF(AND(H87&lt;&gt;"",I87&lt;&gt;""),(I87-H87)/H87,"")</x:f>
      </x:c>
      <x:c r="L87" s="28"/>
      <x:c r="M87" s="28"/>
      <x:c r="N87" s="28" t="str">
        <x:f>IF(AND(H87&lt;&gt;"",M87&lt;&gt;""),(M87-H87)/H87,"")</x:f>
      </x:c>
      <x:c r="O87" s="28"/>
      <x:c r="P87" s="28"/>
      <x:c r="Q87" s="28"/>
      <x:c r="R87" s="28"/>
      <x:c r="S87" s="28"/>
      <x:c r="T87" s="28"/>
    </x:row>
    <x:row r="88">
      <x:c r="A88" s="28" t="str">
        <x:f>IF(D88&lt;&gt;"",ROW()-3,"")</x:f>
      </x:c>
      <x:c r="B88" s="28"/>
      <x:c r="C88" s="28"/>
      <x:c r="D88" s="28"/>
      <x:c r="E88" s="28"/>
      <x:c r="F88" s="28"/>
      <x:c r="G88" s="28"/>
      <x:c r="H88" s="28"/>
      <x:c r="I88" s="28"/>
      <x:c r="J88" s="28"/>
      <x:c r="K88" s="28" t="str">
        <x:f>IF(AND(H88&lt;&gt;"",I88&lt;&gt;""),(I88-H88)/H88,"")</x:f>
      </x:c>
      <x:c r="L88" s="28"/>
      <x:c r="M88" s="28"/>
      <x:c r="N88" s="28" t="str">
        <x:f>IF(AND(H88&lt;&gt;"",M88&lt;&gt;""),(M88-H88)/H88,"")</x:f>
      </x:c>
      <x:c r="O88" s="28"/>
      <x:c r="P88" s="28"/>
      <x:c r="Q88" s="28"/>
      <x:c r="R88" s="28"/>
      <x:c r="S88" s="28"/>
      <x:c r="T88" s="28"/>
    </x:row>
    <x:row r="89">
      <x:c r="A89" s="28" t="str">
        <x:f>IF(D89&lt;&gt;"",ROW()-3,"")</x:f>
      </x:c>
      <x:c r="B89" s="28"/>
      <x:c r="C89" s="28"/>
      <x:c r="D89" s="28"/>
      <x:c r="E89" s="28"/>
      <x:c r="F89" s="28"/>
      <x:c r="G89" s="28"/>
      <x:c r="H89" s="28"/>
      <x:c r="I89" s="28"/>
      <x:c r="J89" s="28"/>
      <x:c r="K89" s="28" t="str">
        <x:f>IF(AND(H89&lt;&gt;"",I89&lt;&gt;""),(I89-H89)/H89,"")</x:f>
      </x:c>
      <x:c r="L89" s="28"/>
      <x:c r="M89" s="28"/>
      <x:c r="N89" s="28" t="str">
        <x:f>IF(AND(H89&lt;&gt;"",M89&lt;&gt;""),(M89-H89)/H89,"")</x:f>
      </x:c>
      <x:c r="O89" s="28"/>
      <x:c r="P89" s="28"/>
      <x:c r="Q89" s="28"/>
      <x:c r="R89" s="28"/>
      <x:c r="S89" s="28"/>
      <x:c r="T89" s="28"/>
    </x:row>
    <x:row r="90">
      <x:c r="A90" s="28" t="str">
        <x:f>IF(D90&lt;&gt;"",ROW()-3,"")</x:f>
      </x:c>
      <x:c r="B90" s="28"/>
      <x:c r="C90" s="28"/>
      <x:c r="D90" s="28"/>
      <x:c r="E90" s="28"/>
      <x:c r="F90" s="28"/>
      <x:c r="G90" s="28"/>
      <x:c r="H90" s="28"/>
      <x:c r="I90" s="28"/>
      <x:c r="J90" s="28"/>
      <x:c r="K90" s="28" t="str">
        <x:f>IF(AND(H90&lt;&gt;"",I90&lt;&gt;""),(I90-H90)/H90,"")</x:f>
      </x:c>
      <x:c r="L90" s="28"/>
      <x:c r="M90" s="28"/>
      <x:c r="N90" s="28" t="str">
        <x:f>IF(AND(H90&lt;&gt;"",M90&lt;&gt;""),(M90-H90)/H90,"")</x:f>
      </x:c>
      <x:c r="O90" s="28"/>
      <x:c r="P90" s="28"/>
      <x:c r="Q90" s="28"/>
      <x:c r="R90" s="28"/>
      <x:c r="S90" s="28"/>
      <x:c r="T90" s="28"/>
    </x:row>
    <x:row r="91">
      <x:c r="A91" s="28" t="str">
        <x:f>IF(D91&lt;&gt;"",ROW()-3,"")</x:f>
      </x:c>
      <x:c r="B91" s="28"/>
      <x:c r="C91" s="28"/>
      <x:c r="D91" s="28"/>
      <x:c r="E91" s="28"/>
      <x:c r="F91" s="28"/>
      <x:c r="G91" s="28"/>
      <x:c r="H91" s="28"/>
      <x:c r="I91" s="28"/>
      <x:c r="J91" s="28"/>
      <x:c r="K91" s="28" t="str">
        <x:f>IF(AND(H91&lt;&gt;"",I91&lt;&gt;""),(I91-H91)/H91,"")</x:f>
      </x:c>
      <x:c r="L91" s="28"/>
      <x:c r="M91" s="28"/>
      <x:c r="N91" s="28" t="str">
        <x:f>IF(AND(H91&lt;&gt;"",M91&lt;&gt;""),(M91-H91)/H91,"")</x:f>
      </x:c>
      <x:c r="O91" s="28"/>
      <x:c r="P91" s="28"/>
      <x:c r="Q91" s="28"/>
      <x:c r="R91" s="28"/>
      <x:c r="S91" s="28"/>
      <x:c r="T91" s="28"/>
    </x:row>
    <x:row r="92">
      <x:c r="A92" s="28" t="str">
        <x:f>IF(D92&lt;&gt;"",ROW()-3,"")</x:f>
      </x:c>
      <x:c r="B92" s="28"/>
      <x:c r="C92" s="28"/>
      <x:c r="D92" s="28"/>
      <x:c r="E92" s="28"/>
      <x:c r="F92" s="28"/>
      <x:c r="G92" s="28"/>
      <x:c r="H92" s="28"/>
      <x:c r="I92" s="28"/>
      <x:c r="J92" s="28"/>
      <x:c r="K92" s="28" t="str">
        <x:f>IF(AND(H92&lt;&gt;"",I92&lt;&gt;""),(I92-H92)/H92,"")</x:f>
      </x:c>
      <x:c r="L92" s="28"/>
      <x:c r="M92" s="28"/>
      <x:c r="N92" s="28" t="str">
        <x:f>IF(AND(H92&lt;&gt;"",M92&lt;&gt;""),(M92-H92)/H92,"")</x:f>
      </x:c>
      <x:c r="O92" s="28"/>
      <x:c r="P92" s="28"/>
      <x:c r="Q92" s="28"/>
      <x:c r="R92" s="28"/>
      <x:c r="S92" s="28"/>
      <x:c r="T92" s="28"/>
    </x:row>
    <x:row r="93">
      <x:c r="A93" s="28" t="str">
        <x:f>IF(D93&lt;&gt;"",ROW()-3,"")</x:f>
      </x:c>
      <x:c r="B93" s="28"/>
      <x:c r="C93" s="28"/>
      <x:c r="D93" s="28"/>
      <x:c r="E93" s="28"/>
      <x:c r="F93" s="28"/>
      <x:c r="G93" s="28"/>
      <x:c r="H93" s="28"/>
      <x:c r="I93" s="28"/>
      <x:c r="J93" s="28"/>
      <x:c r="K93" s="28" t="str">
        <x:f>IF(AND(H93&lt;&gt;"",I93&lt;&gt;""),(I93-H93)/H93,"")</x:f>
      </x:c>
      <x:c r="L93" s="28"/>
      <x:c r="M93" s="28"/>
      <x:c r="N93" s="28" t="str">
        <x:f>IF(AND(H93&lt;&gt;"",M93&lt;&gt;""),(M93-H93)/H93,"")</x:f>
      </x:c>
      <x:c r="O93" s="28"/>
      <x:c r="P93" s="28"/>
      <x:c r="Q93" s="28"/>
      <x:c r="R93" s="28"/>
      <x:c r="S93" s="28"/>
      <x:c r="T93" s="28"/>
    </x:row>
    <x:row r="94">
      <x:c r="A94" s="28" t="str">
        <x:f>IF(D94&lt;&gt;"",ROW()-3,"")</x:f>
      </x:c>
      <x:c r="B94" s="28"/>
      <x:c r="C94" s="28"/>
      <x:c r="D94" s="28"/>
      <x:c r="E94" s="28"/>
      <x:c r="F94" s="28"/>
      <x:c r="G94" s="28"/>
      <x:c r="H94" s="28"/>
      <x:c r="I94" s="28"/>
      <x:c r="J94" s="28"/>
      <x:c r="K94" s="28" t="str">
        <x:f>IF(AND(H94&lt;&gt;"",I94&lt;&gt;""),(I94-H94)/H94,"")</x:f>
      </x:c>
      <x:c r="L94" s="28"/>
      <x:c r="M94" s="28"/>
      <x:c r="N94" s="28" t="str">
        <x:f>IF(AND(H94&lt;&gt;"",M94&lt;&gt;""),(M94-H94)/H94,"")</x:f>
      </x:c>
      <x:c r="O94" s="28"/>
      <x:c r="P94" s="28"/>
      <x:c r="Q94" s="28"/>
      <x:c r="R94" s="28"/>
      <x:c r="S94" s="28"/>
      <x:c r="T94" s="28"/>
    </x:row>
    <x:row r="95">
      <x:c r="A95" s="28" t="str">
        <x:f>IF(D95&lt;&gt;"",ROW()-3,"")</x:f>
      </x:c>
      <x:c r="B95" s="28"/>
      <x:c r="C95" s="28"/>
      <x:c r="D95" s="28"/>
      <x:c r="E95" s="28"/>
      <x:c r="F95" s="28"/>
      <x:c r="G95" s="28"/>
      <x:c r="H95" s="28"/>
      <x:c r="I95" s="28"/>
      <x:c r="J95" s="28"/>
      <x:c r="K95" s="28" t="str">
        <x:f>IF(AND(H95&lt;&gt;"",I95&lt;&gt;""),(I95-H95)/H95,"")</x:f>
      </x:c>
      <x:c r="L95" s="28"/>
      <x:c r="M95" s="28"/>
      <x:c r="N95" s="28" t="str">
        <x:f>IF(AND(H95&lt;&gt;"",M95&lt;&gt;""),(M95-H95)/H95,"")</x:f>
      </x:c>
      <x:c r="O95" s="28"/>
      <x:c r="P95" s="28"/>
      <x:c r="Q95" s="28"/>
      <x:c r="R95" s="28"/>
      <x:c r="S95" s="28"/>
      <x:c r="T95" s="28"/>
    </x:row>
    <x:row r="96">
      <x:c r="A96" s="28" t="str">
        <x:f>IF(D96&lt;&gt;"",ROW()-3,"")</x:f>
      </x:c>
      <x:c r="B96" s="28"/>
      <x:c r="C96" s="28"/>
      <x:c r="D96" s="28"/>
      <x:c r="E96" s="28"/>
      <x:c r="F96" s="28"/>
      <x:c r="G96" s="28"/>
      <x:c r="H96" s="28"/>
      <x:c r="I96" s="28"/>
      <x:c r="J96" s="28"/>
      <x:c r="K96" s="28" t="str">
        <x:f>IF(AND(H96&lt;&gt;"",I96&lt;&gt;""),(I96-H96)/H96,"")</x:f>
      </x:c>
      <x:c r="L96" s="28"/>
      <x:c r="M96" s="28"/>
      <x:c r="N96" s="28" t="str">
        <x:f>IF(AND(H96&lt;&gt;"",M96&lt;&gt;""),(M96-H96)/H96,"")</x:f>
      </x:c>
      <x:c r="O96" s="28"/>
      <x:c r="P96" s="28"/>
      <x:c r="Q96" s="28"/>
      <x:c r="R96" s="28"/>
      <x:c r="S96" s="28"/>
      <x:c r="T96" s="28"/>
    </x:row>
    <x:row r="97">
      <x:c r="A97" s="28" t="str">
        <x:f>IF(D97&lt;&gt;"",ROW()-3,"")</x:f>
      </x:c>
      <x:c r="B97" s="28"/>
      <x:c r="C97" s="28"/>
      <x:c r="D97" s="28"/>
      <x:c r="E97" s="28"/>
      <x:c r="F97" s="28"/>
      <x:c r="G97" s="28"/>
      <x:c r="H97" s="28"/>
      <x:c r="I97" s="28"/>
      <x:c r="J97" s="28"/>
      <x:c r="K97" s="28" t="str">
        <x:f>IF(AND(H97&lt;&gt;"",I97&lt;&gt;""),(I97-H97)/H97,"")</x:f>
      </x:c>
      <x:c r="L97" s="28"/>
      <x:c r="M97" s="28"/>
      <x:c r="N97" s="28" t="str">
        <x:f>IF(AND(H97&lt;&gt;"",M97&lt;&gt;""),(M97-H97)/H97,"")</x:f>
      </x:c>
      <x:c r="O97" s="28"/>
      <x:c r="P97" s="28"/>
      <x:c r="Q97" s="28"/>
      <x:c r="R97" s="28"/>
      <x:c r="S97" s="28"/>
      <x:c r="T97" s="28"/>
    </x:row>
    <x:row r="98">
      <x:c r="A98" s="28" t="str">
        <x:f>IF(D98&lt;&gt;"",ROW()-3,"")</x:f>
      </x:c>
      <x:c r="B98" s="28"/>
      <x:c r="C98" s="28"/>
      <x:c r="D98" s="28"/>
      <x:c r="E98" s="28"/>
      <x:c r="F98" s="28"/>
      <x:c r="G98" s="28"/>
      <x:c r="H98" s="28"/>
      <x:c r="I98" s="28"/>
      <x:c r="J98" s="28"/>
      <x:c r="K98" s="28" t="str">
        <x:f>IF(AND(H98&lt;&gt;"",I98&lt;&gt;""),(I98-H98)/H98,"")</x:f>
      </x:c>
      <x:c r="L98" s="28"/>
      <x:c r="M98" s="28"/>
      <x:c r="N98" s="28" t="str">
        <x:f>IF(AND(H98&lt;&gt;"",M98&lt;&gt;""),(M98-H98)/H98,"")</x:f>
      </x:c>
      <x:c r="O98" s="28"/>
      <x:c r="P98" s="28"/>
      <x:c r="Q98" s="28"/>
      <x:c r="R98" s="28"/>
      <x:c r="S98" s="28"/>
      <x:c r="T98" s="28"/>
    </x:row>
    <x:row r="99">
      <x:c r="A99" s="28" t="str">
        <x:f>IF(D99&lt;&gt;"",ROW()-3,"")</x:f>
      </x:c>
      <x:c r="B99" s="28"/>
      <x:c r="C99" s="28"/>
      <x:c r="D99" s="28"/>
      <x:c r="E99" s="28"/>
      <x:c r="F99" s="28"/>
      <x:c r="G99" s="28"/>
      <x:c r="H99" s="28"/>
      <x:c r="I99" s="28"/>
      <x:c r="J99" s="28"/>
      <x:c r="K99" s="28" t="str">
        <x:f>IF(AND(H99&lt;&gt;"",I99&lt;&gt;""),(I99-H99)/H99,"")</x:f>
      </x:c>
      <x:c r="L99" s="28"/>
      <x:c r="M99" s="28"/>
      <x:c r="N99" s="28" t="str">
        <x:f>IF(AND(H99&lt;&gt;"",M99&lt;&gt;""),(M99-H99)/H99,"")</x:f>
      </x:c>
      <x:c r="O99" s="28"/>
      <x:c r="P99" s="28"/>
      <x:c r="Q99" s="28"/>
      <x:c r="R99" s="28"/>
      <x:c r="S99" s="28"/>
      <x:c r="T99" s="28"/>
    </x:row>
    <x:row r="100">
      <x:c r="A100" s="28" t="str">
        <x:f>IF(D100&lt;&gt;"",ROW()-3,"")</x:f>
      </x:c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 t="str">
        <x:f>IF(AND(H100&lt;&gt;"",I100&lt;&gt;""),(I100-H100)/H100,"")</x:f>
      </x:c>
      <x:c r="L100" s="28"/>
      <x:c r="M100" s="28"/>
      <x:c r="N100" s="28" t="str">
        <x:f>IF(AND(H100&lt;&gt;"",M100&lt;&gt;""),(M100-H100)/H100,"")</x:f>
      </x:c>
      <x:c r="O100" s="28"/>
      <x:c r="P100" s="28"/>
      <x:c r="Q100" s="28"/>
      <x:c r="R100" s="28"/>
      <x:c r="S100" s="28"/>
      <x:c r="T100" s="28"/>
    </x:row>
    <x:row r="101">
      <x:c r="A101" s="28" t="str">
        <x:f>IF(D101&lt;&gt;"",ROW()-3,"")</x:f>
      </x:c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 t="str">
        <x:f>IF(AND(H101&lt;&gt;"",I101&lt;&gt;""),(I101-H101)/H101,"")</x:f>
      </x:c>
      <x:c r="L101" s="28"/>
      <x:c r="M101" s="28"/>
      <x:c r="N101" s="28" t="str">
        <x:f>IF(AND(H101&lt;&gt;"",M101&lt;&gt;""),(M101-H101)/H101,"")</x:f>
      </x:c>
      <x:c r="O101" s="28"/>
      <x:c r="P101" s="28"/>
      <x:c r="Q101" s="28"/>
      <x:c r="R101" s="28"/>
      <x:c r="S101" s="28"/>
      <x:c r="T101" s="28"/>
    </x:row>
    <x:row r="102">
      <x:c r="A102" s="28" t="str">
        <x:f>IF(D102&lt;&gt;"",ROW()-3,"")</x:f>
      </x:c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 t="str">
        <x:f>IF(AND(H102&lt;&gt;"",I102&lt;&gt;""),(I102-H102)/H102,"")</x:f>
      </x:c>
      <x:c r="L102" s="28"/>
      <x:c r="M102" s="28"/>
      <x:c r="N102" s="28" t="str">
        <x:f>IF(AND(H102&lt;&gt;"",M102&lt;&gt;""),(M102-H102)/H102,"")</x:f>
      </x:c>
      <x:c r="O102" s="28"/>
      <x:c r="P102" s="28"/>
      <x:c r="Q102" s="28"/>
      <x:c r="R102" s="28"/>
      <x:c r="S102" s="28"/>
      <x:c r="T102" s="28"/>
    </x:row>
    <x:row r="103">
      <x:c r="A103" s="28" t="str">
        <x:f>IF(D103&lt;&gt;"",ROW()-3,"")</x:f>
      </x:c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 t="str">
        <x:f>IF(AND(H103&lt;&gt;"",I103&lt;&gt;""),(I103-H103)/H103,"")</x:f>
      </x:c>
      <x:c r="L103" s="28"/>
      <x:c r="M103" s="28"/>
      <x:c r="N103" s="28" t="str">
        <x:f>IF(AND(H103&lt;&gt;"",M103&lt;&gt;""),(M103-H103)/H103,"")</x:f>
      </x:c>
      <x:c r="O103" s="28"/>
      <x:c r="P103" s="28"/>
      <x:c r="Q103" s="28"/>
      <x:c r="R103" s="28"/>
      <x:c r="S103" s="28"/>
      <x:c r="T103" s="28"/>
    </x:row>
  </x:sheetData>
  <x:mergeCells>
    <x:mergeCell ref="A1:T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32" hidden="0" customWidth="1"/>
    <x:col min="4" max="4" width="28" hidden="0" customWidth="1"/>
    <x:col min="5" max="5" width="28" hidden="0" customWidth="1"/>
    <x:col min="6" max="6" width="12" hidden="0" customWidth="1"/>
    <x:col min="7" max="7" width="12" hidden="0" customWidth="1"/>
    <x:col min="8" max="8" width="12" hidden="0" customWidth="1"/>
    <x:col min="9" max="9" width="32" hidden="0" customWidth="1"/>
    <x:col min="10" max="10" width="34" hidden="0" customWidth="1"/>
    <x:col min="11" max="11" width="18" hidden="0" customWidth="1"/>
    <x:col min="12" max="12" width="18" hidden="0" customWidth="1"/>
    <x:col min="13" max="13" width="42" hidden="0" customWidth="1"/>
    <x:col min="14" max="14" width="32" hidden="0" customWidth="1"/>
  </x:cols>
  <x:sheetData>
    <x:row r="1">
      <x:c r="A1" s="26" t="str">
        <x:v>週末レビュー</x:v>
      </x:c>
      <x:c r="B1" s="26" t="str">
        <x:v>週末レビュー</x:v>
      </x:c>
      <x:c r="C1" s="26" t="str">
        <x:v>週末レビュー</x:v>
      </x:c>
      <x:c r="D1" s="26" t="str">
        <x:v>週末レビュー</x:v>
      </x:c>
      <x:c r="E1" s="26" t="str">
        <x:v>週末レビュー</x:v>
      </x:c>
      <x:c r="F1" s="26" t="str">
        <x:v>週末レビュー</x:v>
      </x:c>
      <x:c r="G1" s="26" t="str">
        <x:v>週末レビュー</x:v>
      </x:c>
      <x:c r="H1" s="26" t="str">
        <x:v>週末レビュー</x:v>
      </x:c>
      <x:c r="I1" s="26" t="str">
        <x:v>週末レビュー</x:v>
      </x:c>
      <x:c r="J1" s="26" t="str">
        <x:v>週末レビュー</x:v>
      </x:c>
      <x:c r="K1" s="26" t="str">
        <x:v>週末レビュー</x:v>
      </x:c>
      <x:c r="L1" s="26" t="str">
        <x:v>週末レビュー</x:v>
      </x:c>
      <x:c r="M1" s="26" t="str">
        <x:v>週末レビュー</x:v>
      </x:c>
      <x:c r="N1" s="26" t="str">
        <x:v>週末レビュー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A3" s="31" t="str">
        <x:v>週</x:v>
      </x:c>
      <x:c r="B3" s="31" t="str">
        <x:v>レビュー日</x:v>
      </x:c>
      <x:c r="C3" s="31" t="str">
        <x:v>市場環境</x:v>
      </x:c>
      <x:c r="D3" s="31" t="str">
        <x:v>強いセクター/テーマ</x:v>
      </x:c>
      <x:c r="E3" s="31" t="str">
        <x:v>弱いセクター/テーマ</x:v>
      </x:c>
      <x:c r="F3" s="31" t="str">
        <x:v>新規候補数</x:v>
      </x:c>
      <x:c r="G3" s="31" t="str">
        <x:v>実行候補数</x:v>
      </x:c>
      <x:c r="H3" s="31" t="str">
        <x:v>見送り数</x:v>
      </x:c>
      <x:c r="I3" s="31" t="str">
        <x:v>最大懸念</x:v>
      </x:c>
      <x:c r="J3" s="31" t="str">
        <x:v>翌週の見送り条件</x:v>
      </x:c>
      <x:c r="K3" s="31" t="str">
        <x:v>残すモデル</x:v>
      </x:c>
      <x:c r="L3" s="31" t="str">
        <x:v>弱めるモデル</x:v>
      </x:c>
      <x:c r="M3" s="31" t="str">
        <x:v>学び</x:v>
      </x:c>
      <x:c r="N3" s="31" t="str">
        <x:v>次週アクション</x:v>
      </x:c>
    </x:row>
    <x:row r="4">
      <x:c r="A4" s="28" t="str">
        <x:v>Week 1</x:v>
      </x:c>
      <x:c r="B4" s="28"/>
      <x:c r="C4" s="28" t="str"/>
      <x:c r="D4" s="28" t="str"/>
      <x:c r="E4" s="28" t="str"/>
      <x:c r="F4" s="28" t="str"/>
      <x:c r="G4" s="28" t="str"/>
      <x:c r="H4" s="28" t="str"/>
      <x:c r="I4" s="28" t="str"/>
      <x:c r="J4" s="28" t="str"/>
      <x:c r="K4" s="28" t="str"/>
      <x:c r="L4" s="28" t="str"/>
      <x:c r="M4" s="28" t="str"/>
      <x:c r="N4" s="28" t="str"/>
    </x:row>
    <x:row r="5">
      <x:c r="A5" s="28" t="str">
        <x:v>Week 2</x:v>
      </x:c>
      <x:c r="B5" s="28"/>
      <x:c r="C5" s="28" t="str"/>
      <x:c r="D5" s="28" t="str"/>
      <x:c r="E5" s="28" t="str"/>
      <x:c r="F5" s="28" t="str"/>
      <x:c r="G5" s="28" t="str"/>
      <x:c r="H5" s="28" t="str"/>
      <x:c r="I5" s="28" t="str"/>
      <x:c r="J5" s="28" t="str"/>
      <x:c r="K5" s="28" t="str"/>
      <x:c r="L5" s="28" t="str"/>
      <x:c r="M5" s="28" t="str"/>
      <x:c r="N5" s="28" t="str"/>
    </x:row>
    <x:row r="6">
      <x:c r="A6" s="28" t="str">
        <x:v>Week 3</x:v>
      </x:c>
      <x:c r="B6" s="28"/>
      <x:c r="C6" s="28" t="str"/>
      <x:c r="D6" s="28" t="str"/>
      <x:c r="E6" s="28" t="str"/>
      <x:c r="F6" s="28" t="str"/>
      <x:c r="G6" s="28" t="str"/>
      <x:c r="H6" s="28" t="str"/>
      <x:c r="I6" s="28" t="str"/>
      <x:c r="J6" s="28" t="str"/>
      <x:c r="K6" s="28" t="str"/>
      <x:c r="L6" s="28" t="str"/>
      <x:c r="M6" s="28" t="str"/>
      <x:c r="N6" s="28" t="str"/>
    </x:row>
    <x:row r="7">
      <x:c r="A7" s="28" t="str">
        <x:v>Week 4</x:v>
      </x:c>
      <x:c r="B7" s="28"/>
      <x:c r="C7" s="28" t="str"/>
      <x:c r="D7" s="28" t="str"/>
      <x:c r="E7" s="28" t="str"/>
      <x:c r="F7" s="28" t="str"/>
      <x:c r="G7" s="28" t="str"/>
      <x:c r="H7" s="28" t="str"/>
      <x:c r="I7" s="28" t="str"/>
      <x:c r="J7" s="28" t="str"/>
      <x:c r="K7" s="28" t="str"/>
      <x:c r="L7" s="28" t="str"/>
      <x:c r="M7" s="28" t="str"/>
      <x:c r="N7" s="28" t="str"/>
    </x:row>
  </x:sheetData>
  <x:mergeCells>
    <x:mergeCell ref="A1:N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0" hidden="0" customWidth="1"/>
    <x:col min="4" max="4" width="22" hidden="0" customWidth="1"/>
    <x:col min="5" max="5" width="12" hidden="0" customWidth="1"/>
    <x:col min="6" max="6" width="18" hidden="0" customWidth="1"/>
    <x:col min="7" max="7" width="44" hidden="0" customWidth="1"/>
    <x:col min="8" max="8" width="38" hidden="0" customWidth="1"/>
    <x:col min="9" max="9" width="36" hidden="0" customWidth="1"/>
    <x:col min="10" max="10" width="28" hidden="0" customWidth="1"/>
    <x:col min="11" max="11" width="32" hidden="0" customWidth="1"/>
    <x:col min="12" max="12" width="10" hidden="0" customWidth="1"/>
  </x:cols>
  <x:sheetData>
    <x:row r="1">
      <x:c r="A1" s="26" t="str">
        <x:v>モデル別 銘柄選定（模擬観察候補）</x:v>
      </x:c>
      <x:c r="B1" s="26" t="str">
        <x:v>モデル別 銘柄選定（模擬観察候補）</x:v>
      </x:c>
      <x:c r="C1" s="26" t="str">
        <x:v>モデル別 銘柄選定（模擬観察候補）</x:v>
      </x:c>
      <x:c r="D1" s="26" t="str">
        <x:v>モデル別 銘柄選定（模擬観察候補）</x:v>
      </x:c>
      <x:c r="E1" s="26" t="str">
        <x:v>モデル別 銘柄選定（模擬観察候補）</x:v>
      </x:c>
      <x:c r="F1" s="26" t="str">
        <x:v>モデル別 銘柄選定（模擬観察候補）</x:v>
      </x:c>
      <x:c r="G1" s="26" t="str">
        <x:v>モデル別 銘柄選定（模擬観察候補）</x:v>
      </x:c>
      <x:c r="H1" s="26" t="str">
        <x:v>モデル別 銘柄選定（模擬観察候補）</x:v>
      </x:c>
      <x:c r="I1" s="26" t="str">
        <x:v>モデル別 銘柄選定（模擬観察候補）</x:v>
      </x:c>
      <x:c r="J1" s="26" t="str">
        <x:v>モデル別 銘柄選定（模擬観察候補）</x:v>
      </x:c>
      <x:c r="K1" s="26" t="str">
        <x:v>モデル別 銘柄選定（模擬観察候補）</x:v>
      </x:c>
      <x:c r="L1" s="26" t="str">
        <x:v>モデル別 銘柄選定（模擬観察候補）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>
      <x:c r="A3" s="31" t="str">
        <x:v>Model ID</x:v>
      </x:c>
      <x:c r="B3" s="31" t="str">
        <x:v>モデル名</x:v>
      </x:c>
      <x:c r="C3" s="31" t="str">
        <x:v>コード</x:v>
      </x:c>
      <x:c r="D3" s="31" t="str">
        <x:v>銘柄/ETF</x:v>
      </x:c>
      <x:c r="E3" s="31" t="str">
        <x:v>市場</x:v>
      </x:c>
      <x:c r="F3" s="31" t="str">
        <x:v>役割</x:v>
      </x:c>
      <x:c r="G3" s="31" t="str">
        <x:v>選定理由</x:v>
      </x:c>
      <x:c r="H3" s="31" t="str">
        <x:v>観察条件</x:v>
      </x:c>
      <x:c r="I3" s="31" t="str">
        <x:v>見送り条件</x:v>
      </x:c>
      <x:c r="J3" s="31" t="str">
        <x:v>確認ソース</x:v>
      </x:c>
      <x:c r="K3" s="31" t="str">
        <x:v>メモ</x:v>
      </x:c>
      <x:c r="L3" s="31" t="str">
        <x:v>優先度</x:v>
      </x:c>
    </x:row>
    <x:row r="4">
      <x:c r="A4" s="28" t="str">
        <x:v>M5</x:v>
      </x:c>
      <x:c r="B4" s="28" t="str">
        <x:v>リスク最小・高流動性</x:v>
      </x:c>
      <x:c r="C4" s="28" t="str">
        <x:v>8306</x:v>
      </x:c>
      <x:c r="D4" s="28" t="str">
        <x:v>三菱UFJ FG</x:v>
      </x:c>
      <x:c r="E4" s="28" t="str">
        <x:v>日本株</x:v>
      </x:c>
      <x:c r="F4" s="28" t="str">
        <x:v>主力候補</x:v>
      </x:c>
      <x:c r="G4" s="28" t="str">
        <x:v>3ヶ月日足の上昇基調が比較的きれいで、100万円口座でも100株単位で扱いやすい</x:v>
      </x:c>
      <x:c r="H4" s="28" t="str">
        <x:v>3,220円超え、銀行セクター強含み</x:v>
      </x:c>
      <x:c r="I4" s="28" t="str">
        <x:v>3,000円割れ、金利低下や銀行セクター悪化</x:v>
      </x:c>
      <x:c r="J4" s="28" t="str">
        <x:v>SBIチャート/金利ニュース</x:v>
      </x:c>
      <x:c r="K4" s="28" t="str">
        <x:v>初回100株候補。価格更新時に損益再計算</x:v>
      </x:c>
      <x:c r="L4" s="28" t="str">
        <x:v>高</x:v>
      </x:c>
    </x:row>
    <x:row r="5">
      <x:c r="A5" s="28" t="str">
        <x:v>M5</x:v>
      </x:c>
      <x:c r="B5" s="28" t="str">
        <x:v>リスク最小・高流動性</x:v>
      </x:c>
      <x:c r="C5" s="28" t="str">
        <x:v>9433</x:v>
      </x:c>
      <x:c r="D5" s="28" t="str">
        <x:v>KDDI</x:v>
      </x:c>
      <x:c r="E5" s="28" t="str">
        <x:v>日本株</x:v>
      </x:c>
      <x:c r="F5" s="28" t="str">
        <x:v>守り候補</x:v>
      </x:c>
      <x:c r="G5" s="28" t="str">
        <x:v>通信大型株で値動きが比較的落ち着きやすく、余剰資金を残す方針と相性がよい</x:v>
      </x:c>
      <x:c r="H5" s="28" t="str">
        <x:v>2,750円超え、2,650円台維持</x:v>
      </x:c>
      <x:c r="I5" s="28" t="str">
        <x:v>2,580円割れ、ディフェンシブ株まで売られる地合い</x:v>
      </x:c>
      <x:c r="J5" s="28" t="str">
        <x:v>SBIチャート/通信セクター</x:v>
      </x:c>
      <x:c r="K5" s="28" t="str">
        <x:v>初回100株候補。上昇力より安定性重視</x:v>
      </x:c>
      <x:c r="L5" s="28" t="str">
        <x:v>高</x:v>
      </x:c>
    </x:row>
    <x:row r="6">
      <x:c r="A6" s="28" t="str">
        <x:v>M1</x:v>
      </x:c>
      <x:c r="B6" s="28" t="str">
        <x:v>トレンドフォロー</x:v>
      </x:c>
      <x:c r="C6" s="28" t="str">
        <x:v>8035</x:v>
      </x:c>
      <x:c r="D6" s="28" t="str">
        <x:v>東京エレクトロン</x:v>
      </x:c>
      <x:c r="E6" s="28" t="str">
        <x:v>日本株</x:v>
      </x:c>
      <x:c r="F6" s="28" t="str">
        <x:v>押し目待ち</x:v>
      </x:c>
      <x:c r="G6" s="28" t="str">
        <x:v>候補内で最も強いチャートだが急騰直後。単元では買えないためS株で少額観察</x:v>
      </x:c>
      <x:c r="H6" s="28" t="str">
        <x:v>65,000〜66,000円台から反発、または70,000円超え出来高あり</x:v>
      </x:c>
      <x:c r="I6" s="28" t="str">
        <x:v>65,000円をすぐ割る、半導体全体反落</x:v>
      </x:c>
      <x:c r="J6" s="28" t="str">
        <x:v>SBIチャート/半導体ニュース</x:v>
      </x:c>
      <x:c r="K6" s="28" t="str">
        <x:v>S株1〜2株のみ検討。飛び乗り禁止</x:v>
      </x:c>
      <x:c r="L6" s="28" t="str">
        <x:v>中</x:v>
      </x:c>
    </x:row>
    <x:row r="7">
      <x:c r="A7" s="28" t="str">
        <x:v>M1</x:v>
      </x:c>
      <x:c r="B7" s="28" t="str">
        <x:v>トレンドフォロー</x:v>
      </x:c>
      <x:c r="C7" s="28" t="str">
        <x:v>6857</x:v>
      </x:c>
      <x:c r="D7" s="28" t="str">
        <x:v>アドバンテスト</x:v>
      </x:c>
      <x:c r="E7" s="28" t="str">
        <x:v>日本株</x:v>
      </x:c>
      <x:c r="F7" s="28" t="str">
        <x:v>保留</x:v>
      </x:c>
      <x:c r="G7" s="28" t="str">
        <x:v>反発力はあるが値動きが荒く、100万円口座ではS株前提</x:v>
      </x:c>
      <x:c r="H7" s="28" t="str">
        <x:v>28,500円超え、出来高増</x:v>
      </x:c>
      <x:c r="I7" s="28" t="str">
        <x:v>26,000円を保てない、半導体全体反落</x:v>
      </x:c>
      <x:c r="J7" s="28" t="str">
        <x:v>SBIチャート/半導体ニュース</x:v>
      </x:c>
      <x:c r="K7" s="28" t="str">
        <x:v>今週は追わず週末再評価</x:v>
      </x:c>
      <x:c r="L7" s="28" t="str">
        <x:v>中</x:v>
      </x:c>
    </x:row>
    <x:row r="8">
      <x:c r="A8" s="28" t="str">
        <x:v>M4</x:v>
      </x:c>
      <x:c r="B8" s="28" t="str">
        <x:v>ニュース確認型モメンタム</x:v>
      </x:c>
      <x:c r="C8" s="28" t="str">
        <x:v>9984</x:v>
      </x:c>
      <x:c r="D8" s="28" t="str">
        <x:v>ソフトバンクグループ</x:v>
      </x:c>
      <x:c r="E8" s="28" t="str">
        <x:v>日本株</x:v>
      </x:c>
      <x:c r="F8" s="28" t="str">
        <x:v>保留</x:v>
      </x:c>
      <x:c r="G8" s="28" t="str">
        <x:v>AIニュース感応度は高いが、高値からの調整中で振られやすい</x:v>
      </x:c>
      <x:c r="H8" s="28" t="str">
        <x:v>調整後の反発確認、AI関連ニュースが価格を支える</x:v>
      </x:c>
      <x:c r="I8" s="28" t="str">
        <x:v>資金調達/AI関連悪材料で続落</x:v>
      </x:c>
      <x:c r="J8" s="28" t="str">
        <x:v>SBIチャート/AIニュース</x:v>
      </x:c>
      <x:c r="K8" s="28" t="str">
        <x:v>ニュースと価格反応が一致するまで待つ</x:v>
      </x:c>
      <x:c r="L8" s="28" t="str">
        <x:v>中</x:v>
      </x:c>
    </x:row>
    <x:row r="9">
      <x:c r="A9" s="28" t="str">
        <x:v>M2</x:v>
      </x:c>
      <x:c r="B9" s="28" t="str">
        <x:v>決算モメンタム</x:v>
      </x:c>
      <x:c r="C9" s="28" t="str">
        <x:v>7011</x:v>
      </x:c>
      <x:c r="D9" s="28" t="str">
        <x:v>三菱重工業</x:v>
      </x:c>
      <x:c r="E9" s="28" t="str">
        <x:v>日本株</x:v>
      </x:c>
      <x:c r="F9" s="28" t="str">
        <x:v>見送り寄り</x:v>
      </x:c>
      <x:c r="G9" s="28" t="str">
        <x:v>受注や防衛材料は強いが、直近チャートは下降基調で反転確認が弱い</x:v>
      </x:c>
      <x:c r="H9" s="28" t="str">
        <x:v>下降基調から反転し高値更新</x:v>
      </x:c>
      <x:c r="I9" s="28" t="str">
        <x:v>下降継続、材料に株価が反応しない</x:v>
      </x:c>
      <x:c r="J9" s="28" t="str">
        <x:v>SBIチャート/FT等ニュース</x:v>
      </x:c>
      <x:c r="K9" s="28" t="str">
        <x:v>材料は継続監視。今は買い候補から外す</x:v>
      </x:c>
      <x:c r="L9" s="28" t="str">
        <x:v>低</x:v>
      </x:c>
    </x:row>
    <x:row r="10">
      <x:c r="A10" s="28" t="str">
        <x:v>M2</x:v>
      </x:c>
      <x:c r="B10" s="28" t="str">
        <x:v>決算モメンタム</x:v>
      </x:c>
      <x:c r="C10" s="28" t="str">
        <x:v>6501</x:v>
      </x:c>
      <x:c r="D10" s="28" t="str">
        <x:v>日立製作所</x:v>
      </x:c>
      <x:c r="E10" s="28" t="str">
        <x:v>日本株</x:v>
      </x:c>
      <x:c r="F10" s="28" t="str">
        <x:v>見送り寄り</x:v>
      </x:c>
      <x:c r="G10" s="28" t="str">
        <x:v>AI・インフラ材料はあるが、直近は下落が目立ち下げ止まり確認が先</x:v>
      </x:c>
      <x:c r="H10" s="28" t="str">
        <x:v>移動平均回復、下げ止まり確認</x:v>
      </x:c>
      <x:c r="I10" s="28" t="str">
        <x:v>下落継続、出来高を伴う下抜け</x:v>
      </x:c>
      <x:c r="J10" s="28" t="str">
        <x:v>SBIチャート/決算ニュース</x:v>
      </x:c>
      <x:c r="K10" s="28" t="str">
        <x:v>週末再評価</x:v>
      </x:c>
      <x:c r="L10" s="28" t="str">
        <x:v>低</x:v>
      </x:c>
    </x:row>
    <x:row r="11">
      <x:c r="A11" s="28" t="str">
        <x:v>M3</x:v>
      </x:c>
      <x:c r="B11" s="28" t="str">
        <x:v>ETFコア＋個別株サテライト</x:v>
      </x:c>
      <x:c r="C11" s="28" t="str">
        <x:v>1306</x:v>
      </x:c>
      <x:c r="D11" s="28" t="str">
        <x:v>TOPIX連動型ETF</x:v>
      </x:c>
      <x:c r="E11" s="28" t="str">
        <x:v>日本ETF</x:v>
      </x:c>
      <x:c r="F11" s="28" t="str">
        <x:v>地合い確認</x:v>
      </x:c>
      <x:c r="G11" s="28" t="str">
        <x:v>個別株リスクを抑えて日本株全体の地合いを見る基準</x:v>
      </x:c>
      <x:c r="H11" s="28" t="str">
        <x:v>TOPIXが上昇基調、下値切り上げ</x:v>
      </x:c>
      <x:c r="I11" s="28" t="str">
        <x:v>指数が週足で崩れる</x:v>
      </x:c>
      <x:c r="J11" s="28" t="str">
        <x:v>指数/ETFチャート</x:v>
      </x:c>
      <x:c r="K11" s="28" t="str">
        <x:v>今回は実行候補ではなく比較用</x:v>
      </x:c>
      <x:c r="L11" s="28" t="str">
        <x:v>中</x:v>
      </x:c>
    </x:row>
    <x:row r="12">
      <x:c r="A12" s="28" t="str">
        <x:v>M3</x:v>
      </x:c>
      <x:c r="B12" s="28" t="str">
        <x:v>ETFコア＋個別株サテライト</x:v>
      </x:c>
      <x:c r="C12" s="28" t="str">
        <x:v>1321</x:v>
      </x:c>
      <x:c r="D12" s="28" t="str">
        <x:v>日経225連動型ETF</x:v>
      </x:c>
      <x:c r="E12" s="28" t="str">
        <x:v>日本ETF</x:v>
      </x:c>
      <x:c r="F12" s="28" t="str">
        <x:v>地合い確認</x:v>
      </x:c>
      <x:c r="G12" s="28" t="str">
        <x:v>大型・値がさ株主導の相場を確認する基準</x:v>
      </x:c>
      <x:c r="H12" s="28" t="str">
        <x:v>日経平均が高値圏維持</x:v>
      </x:c>
      <x:c r="I12" s="28" t="str">
        <x:v>値がさ半導体の急落が続く</x:v>
      </x:c>
      <x:c r="J12" s="28" t="str">
        <x:v>指数/ETFチャート</x:v>
      </x:c>
      <x:c r="K12" s="28" t="str">
        <x:v>今回は実行候補ではなく比較用</x:v>
      </x:c>
      <x:c r="L12" s="28" t="str">
        <x:v>中</x:v>
      </x:c>
    </x:row>
  </x:sheetData>
  <x:mergeCells>
    <x:mergeCell ref="A1:L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2" hidden="0" customWidth="1"/>
    <x:col min="5" max="5" width="18" hidden="0" customWidth="1"/>
    <x:col min="6" max="6" width="34" hidden="0" customWidth="1"/>
    <x:col min="7" max="7" width="48" hidden="0" customWidth="1"/>
    <x:col min="8" max="8" width="34" hidden="0" customWidth="1"/>
  </x:cols>
  <x:sheetData>
    <x:row r="1">
      <x:c r="A1" s="26" t="str">
        <x:v>「検索して」依頼時の確認テンプレ</x:v>
      </x:c>
      <x:c r="B1" s="26" t="str">
        <x:v>「検索して」依頼時の確認テンプレ</x:v>
      </x:c>
      <x:c r="C1" s="26" t="str">
        <x:v>「検索して」依頼時の確認テンプレ</x:v>
      </x:c>
      <x:c r="D1" s="26" t="str">
        <x:v>「検索して」依頼時の確認テンプレ</x:v>
      </x:c>
      <x:c r="E1" s="26" t="str">
        <x:v>「検索して」依頼時の確認テンプレ</x:v>
      </x:c>
      <x:c r="F1" s="26" t="str">
        <x:v>「検索して」依頼時の確認テンプレ</x:v>
      </x:c>
      <x:c r="G1" s="26" t="str">
        <x:v>「検索して」依頼時の確認テンプレ</x:v>
      </x:c>
      <x:c r="H1" s="26" t="str">
        <x:v>「検索して」依頼時の確認テンプレ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8" t="str">
        <x:v>目的</x:v>
      </x:c>
      <x:c r="B3" s="28" t="str">
        <x:v>このチャット上で最新データ確認からシミュレーションまで完結する</x:v>
      </x:c>
      <x:c r="C3" s="27"/>
      <x:c r="D3" s="27"/>
      <x:c r="E3" s="27"/>
      <x:c r="F3" s="27"/>
      <x:c r="G3" s="27"/>
      <x:c r="H3" s="27"/>
    </x:row>
    <x:row r="4">
      <x:c r="A4" s="28" t="str">
        <x:v>確認タイミング</x:v>
      </x:c>
      <x:c r="B4" s="28" t="str">
        <x:v>ユーザーが「検索して」と依頼した時</x:v>
      </x:c>
      <x:c r="C4" s="27"/>
      <x:c r="D4" s="27"/>
      <x:c r="E4" s="27"/>
      <x:c r="F4" s="27"/>
      <x:c r="G4" s="27"/>
      <x:c r="H4" s="27"/>
    </x:row>
    <x:row r="5">
      <x:c r="A5" s="28" t="str">
        <x:v>資金前提</x:v>
      </x:c>
      <x:c r="B5" s="28" t="str">
        <x:v>100万円。初回は上限一杯に使わず、余剰金を残す</x:v>
      </x:c>
      <x:c r="C5" s="27"/>
      <x:c r="D5" s="27"/>
      <x:c r="E5" s="27"/>
      <x:c r="F5" s="27"/>
      <x:c r="G5" s="27"/>
      <x:c r="H5" s="27"/>
    </x:row>
    <x:row r="6">
      <x:c r="A6" s="28" t="str">
        <x:v>現在の初回候補</x:v>
      </x:c>
      <x:c r="B6" s="28" t="str">
        <x:v>8306 三菱UFJ FG、9433 KDDI</x:v>
      </x:c>
      <x:c r="C6" s="27"/>
      <x:c r="D6" s="27"/>
      <x:c r="E6" s="27"/>
      <x:c r="F6" s="27"/>
      <x:c r="G6" s="27"/>
      <x:c r="H6" s="27"/>
    </x:row>
    <x:row r="7">
      <x:c r="A7" s="28" t="str">
        <x:v>押し目待ち</x:v>
      </x:c>
      <x:c r="B7" s="28" t="str">
        <x:v>8035 東京エレクトロン</x:v>
      </x:c>
      <x:c r="C7" s="27"/>
      <x:c r="D7" s="27"/>
      <x:c r="E7" s="27"/>
      <x:c r="F7" s="27"/>
      <x:c r="G7" s="27"/>
      <x:c r="H7" s="27"/>
    </x:row>
    <x:row r="8">
      <x:c r="A8" s="28" t="str">
        <x:v>保留/再評価</x:v>
      </x:c>
      <x:c r="B8" s="28" t="str">
        <x:v>6857、9984、7011、6501、1306、1321</x:v>
      </x:c>
      <x:c r="C8" s="27"/>
      <x:c r="D8" s="27"/>
      <x:c r="E8" s="27"/>
      <x:c r="F8" s="27"/>
      <x:c r="G8" s="27"/>
      <x:c r="H8" s="27"/>
    </x:row>
    <x:row r="9">
      <x:c r="A9" s="28" t="str">
        <x:v>判断原則</x:v>
      </x:c>
      <x:c r="B9" s="28" t="str">
        <x:v>買い推奨ではなく、模擬運用の候補更新として扱う</x:v>
      </x:c>
      <x:c r="C9" s="27"/>
      <x:c r="D9" s="27"/>
      <x:c r="E9" s="27"/>
      <x:c r="F9" s="27"/>
      <x:c r="G9" s="27"/>
      <x:c r="H9" s="27"/>
    </x:row>
    <x:row r="10">
      <x:c r="A10" s="28" t="str">
        <x:v>出力</x:v>
      </x:c>
      <x:c r="B10" s="28" t="str">
        <x:v>最新データ、判断、資金配分、損切り/利確、残す現金</x:v>
      </x:c>
      <x:c r="C10" s="27"/>
      <x:c r="D10" s="27"/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31" t="str">
        <x:v>コード</x:v>
      </x:c>
      <x:c r="B12" s="31" t="str">
        <x:v>銘柄</x:v>
      </x:c>
      <x:c r="C12" s="31" t="str">
        <x:v>最新価格</x:v>
      </x:c>
      <x:c r="D12" s="31" t="str">
        <x:v>前日比</x:v>
      </x:c>
      <x:c r="E12" s="31" t="str">
        <x:v>出来高/売買代金</x:v>
      </x:c>
      <x:c r="F12" s="31" t="str">
        <x:v>ニュース/材料</x:v>
      </x:c>
      <x:c r="G12" s="31" t="str">
        <x:v>チャート判断</x:v>
      </x:c>
      <x:c r="H12" s="31" t="str">
        <x:v>今回の判断</x:v>
      </x:c>
    </x:row>
    <x:row r="13">
      <x:c r="A13" s="28" t="str">
        <x:v>8306</x:v>
      </x:c>
      <x:c r="B13" s="28" t="str">
        <x:v>三菱UFJ FG</x:v>
      </x:c>
      <x:c r="C13" s="28" t="str"/>
      <x:c r="D13" s="28" t="str"/>
      <x:c r="E13" s="28" t="str"/>
      <x:c r="F13" s="28" t="str"/>
      <x:c r="G13" s="28" t="str">
        <x:v>3,220円超えなら強気、3,000円割れなら撤退/見送り</x:v>
      </x:c>
      <x:c r="H13" s="28" t="str"/>
    </x:row>
    <x:row r="14">
      <x:c r="A14" s="28" t="str">
        <x:v>9433</x:v>
      </x:c>
      <x:c r="B14" s="28" t="str">
        <x:v>KDDI</x:v>
      </x:c>
      <x:c r="C14" s="28" t="str"/>
      <x:c r="D14" s="28" t="str"/>
      <x:c r="E14" s="28" t="str"/>
      <x:c r="F14" s="28" t="str"/>
      <x:c r="G14" s="28" t="str">
        <x:v>2,750円超えなら強気、2,580円割れなら撤退/見送り</x:v>
      </x:c>
      <x:c r="H14" s="28" t="str"/>
    </x:row>
    <x:row r="15">
      <x:c r="A15" s="28" t="str">
        <x:v>8035</x:v>
      </x:c>
      <x:c r="B15" s="28" t="str">
        <x:v>東京エレクトロン</x:v>
      </x:c>
      <x:c r="C15" s="28" t="str"/>
      <x:c r="D15" s="28" t="str"/>
      <x:c r="E15" s="28" t="str"/>
      <x:c r="F15" s="28" t="str"/>
      <x:c r="G15" s="28" t="str">
        <x:v>65,000〜66,000円台の反発、または70,000円超えを確認</x:v>
      </x:c>
      <x:c r="H15" s="28" t="str"/>
    </x:row>
    <x:row r="16">
      <x:c r="A16" s="28" t="str">
        <x:v>6857</x:v>
      </x:c>
      <x:c r="B16" s="28" t="str">
        <x:v>アドバンテスト</x:v>
      </x:c>
      <x:c r="C16" s="28" t="str"/>
      <x:c r="D16" s="28" t="str"/>
      <x:c r="E16" s="28" t="str"/>
      <x:c r="F16" s="28" t="str"/>
      <x:c r="G16" s="28" t="str">
        <x:v>28,500円超えなら再評価、26,000円割れは見送り</x:v>
      </x:c>
      <x:c r="H16" s="28" t="str"/>
    </x:row>
    <x:row r="17">
      <x:c r="A17" s="28" t="str">
        <x:v>9984</x:v>
      </x:c>
      <x:c r="B17" s="28" t="str">
        <x:v>ソフトバンクG</x:v>
      </x:c>
      <x:c r="C17" s="28" t="str"/>
      <x:c r="D17" s="28" t="str"/>
      <x:c r="E17" s="28" t="str"/>
      <x:c r="F17" s="28" t="str"/>
      <x:c r="G17" s="28" t="str">
        <x:v>調整後の反発とAIニュースの一致を確認</x:v>
      </x:c>
      <x:c r="H17" s="28" t="str"/>
    </x:row>
    <x:row r="18">
      <x:c r="A18" s="28" t="str">
        <x:v>7011</x:v>
      </x:c>
      <x:c r="B18" s="28" t="str">
        <x:v>三菱重工業</x:v>
      </x:c>
      <x:c r="C18" s="28" t="str"/>
      <x:c r="D18" s="28" t="str"/>
      <x:c r="E18" s="28" t="str"/>
      <x:c r="F18" s="28" t="str"/>
      <x:c r="G18" s="28" t="str">
        <x:v>下降基調からの反転確認が先</x:v>
      </x:c>
      <x:c r="H18" s="28" t="str"/>
    </x:row>
    <x:row r="19">
      <x:c r="A19" s="28" t="str">
        <x:v>6501</x:v>
      </x:c>
      <x:c r="B19" s="28" t="str">
        <x:v>日立製作所</x:v>
      </x:c>
      <x:c r="C19" s="28" t="str"/>
      <x:c r="D19" s="28" t="str"/>
      <x:c r="E19" s="28" t="str"/>
      <x:c r="F19" s="28" t="str"/>
      <x:c r="G19" s="28" t="str">
        <x:v>下げ止まりと移動平均回復が先</x:v>
      </x:c>
      <x:c r="H19" s="28" t="str"/>
    </x:row>
    <x:row r="20">
      <x:c r="A20" s="28" t="str">
        <x:v>1306</x:v>
      </x:c>
      <x:c r="B20" s="28" t="str">
        <x:v>TOPIX ETF</x:v>
      </x:c>
      <x:c r="C20" s="28" t="str"/>
      <x:c r="D20" s="28" t="str"/>
      <x:c r="E20" s="28" t="str"/>
      <x:c r="F20" s="28" t="str"/>
      <x:c r="G20" s="28" t="str">
        <x:v>日本株全体の地合い確認</x:v>
      </x:c>
      <x:c r="H20" s="28" t="str"/>
    </x:row>
    <x:row r="21">
      <x:c r="A21" s="28" t="str">
        <x:v>1321</x:v>
      </x:c>
      <x:c r="B21" s="28" t="str">
        <x:v>日経225 ETF</x:v>
      </x:c>
      <x:c r="C21" s="28" t="str"/>
      <x:c r="D21" s="28" t="str"/>
      <x:c r="E21" s="28" t="str"/>
      <x:c r="F21" s="28" t="str"/>
      <x:c r="G21" s="28" t="str">
        <x:v>大型株/半導体主導の地合い確認</x:v>
      </x:c>
      <x:c r="H21" s="28" t="str"/>
    </x:row>
    <x:row r="22">
      <x:c r="A22" s="27"/>
      <x:c r="B22" s="27"/>
      <x:c r="C22" s="27"/>
      <x:c r="D22" s="27"/>
      <x:c r="E22" s="27"/>
      <x:c r="F22" s="27"/>
      <x:c r="G22" s="27"/>
      <x:c r="H22" s="27"/>
    </x:row>
    <x:row r="23">
      <x:c r="A23" s="27"/>
      <x:c r="B23" s="27"/>
      <x:c r="C23" s="27"/>
      <x:c r="D23" s="27"/>
      <x:c r="E23" s="27"/>
      <x:c r="F23" s="27"/>
      <x:c r="G23" s="27"/>
      <x:c r="H23" s="27"/>
    </x:row>
    <x:row r="24">
      <x:c r="A24" s="31" t="str">
        <x:v>シナリオ</x:v>
      </x:c>
      <x:c r="B24" s="31" t="str">
        <x:v>投資額</x:v>
      </x:c>
      <x:c r="C24" s="31" t="str">
        <x:v>現金</x:v>
      </x:c>
      <x:c r="D24" s="31" t="str">
        <x:v>損切り損益</x:v>
      </x:c>
      <x:c r="E24" s="31" t="str">
        <x:v>第1利確損益</x:v>
      </x:c>
      <x:c r="F24" s="31" t="str">
        <x:v>第2利確損益</x:v>
      </x:c>
      <x:c r="G24" s="31" t="str">
        <x:v>採用/見送り</x:v>
      </x:c>
      <x:c r="H24" s="31" t="str">
        <x:v>理由</x:v>
      </x:c>
    </x:row>
    <x:row r="25">
      <x:c r="A25" s="28" t="str">
        <x:v>8306+9433のみ</x:v>
      </x:c>
      <x:c r="B25" s="28" t="n">
        <x:f>SUM('Capital Plan'!F11:F12)</x:f>
        <x:v>583200</x:v>
      </x:c>
      <x:c r="C25" s="28" t="n">
        <x:f>'Capital Plan'!B3-B25</x:f>
        <x:v>416800</x:v>
      </x:c>
      <x:c r="D25" s="28" t="n">
        <x:f>SUM('Capital Plan'!J11:J12)</x:f>
        <x:v>-25200</x:v>
      </x:c>
      <x:c r="E25" s="28" t="n">
        <x:f>SUM('Capital Plan'!K11:K12)</x:f>
        <x:v>26800</x:v>
      </x:c>
      <x:c r="F25" s="28" t="n">
        <x:f>SUM('Capital Plan'!L11:L12)</x:f>
        <x:v>51800</x:v>
      </x:c>
      <x:c r="G25" s="28" t="str">
        <x:v>基本案</x:v>
      </x:c>
      <x:c r="H25" s="28" t="str">
        <x:v>約40万円を残せる</x:v>
      </x:c>
    </x:row>
    <x:row r="26">
      <x:c r="A26" s="28" t="str">
        <x:v>8306+9433+8035</x:v>
      </x:c>
      <x:c r="B26" s="28" t="n">
        <x:f>SUM('Capital Plan'!F11:F13)</x:f>
        <x:v>715200</x:v>
      </x:c>
      <x:c r="C26" s="28" t="n">
        <x:f>'Capital Plan'!B3-B26</x:f>
        <x:v>284800</x:v>
      </x:c>
      <x:c r="D26" s="28" t="n">
        <x:f>SUM('Capital Plan'!J11:J13)</x:f>
        <x:v>-33200</x:v>
      </x:c>
      <x:c r="E26" s="28" t="n">
        <x:f>SUM('Capital Plan'!K11:K13)</x:f>
        <x:v>42800</x:v>
      </x:c>
      <x:c r="F26" s="28" t="n">
        <x:f>SUM('Capital Plan'!L11:L13)</x:f>
        <x:v>75800</x:v>
      </x:c>
      <x:c r="G26" s="28" t="str">
        <x:v>条件付き</x:v>
      </x:c>
      <x:c r="H26" s="28" t="str">
        <x:v>8035が押し目/再上昇確認できた場合</x:v>
      </x:c>
    </x:row>
    <x:row r="27">
      <x:c r="A27" s="28" t="str">
        <x:v>全額投入</x:v>
      </x:c>
      <x:c r="B27" s="28" t="str"/>
      <x:c r="C27" s="28" t="str"/>
      <x:c r="D27" s="28" t="str"/>
      <x:c r="E27" s="28" t="str"/>
      <x:c r="F27" s="28" t="str"/>
      <x:c r="G27" s="28" t="str">
        <x:v>原則見送り</x:v>
      </x:c>
      <x:c r="H27" s="28" t="str">
        <x:v>余剰資金を残す方針に反する</x:v>
      </x:c>
    </x:row>
    <x:row r="28">
      <x:c r="A28" s="27"/>
      <x:c r="B28" s="27"/>
      <x:c r="C28" s="27"/>
      <x:c r="D28" s="27"/>
      <x:c r="E28" s="27"/>
      <x:c r="F28" s="27"/>
      <x:c r="G28" s="27"/>
      <x:c r="H28" s="27"/>
    </x:row>
    <x:row r="29">
      <x:c r="A29" s="27"/>
      <x:c r="B29" s="27"/>
      <x:c r="C29" s="27"/>
      <x:c r="D29" s="27"/>
      <x:c r="E29" s="27"/>
      <x:c r="F29" s="27"/>
      <x:c r="G29" s="27"/>
      <x:c r="H29" s="27"/>
    </x:row>
    <x:row r="30">
      <x:c r="A30" s="28" t="str">
        <x:v>返答テンプレ</x:v>
      </x:c>
      <x:c r="B30" s="28" t="str">
        <x:v>今日の検索結果では、実行候補/見送り候補を以下の通り更新します。</x:v>
      </x:c>
      <x:c r="C30" s="27"/>
      <x:c r="D30" s="27"/>
      <x:c r="E30" s="27"/>
      <x:c r="F30" s="27"/>
      <x:c r="G30" s="27"/>
      <x:c r="H30" s="27"/>
    </x:row>
    <x:row r="31">
      <x:c r="A31" s="28" t="str">
        <x:v>1</x:v>
      </x:c>
      <x:c r="B31" s="28" t="str">
        <x:v>最新価格とチャート形状</x:v>
      </x:c>
      <x:c r="C31" s="27"/>
      <x:c r="D31" s="27"/>
      <x:c r="E31" s="27"/>
      <x:c r="F31" s="27"/>
      <x:c r="G31" s="27"/>
      <x:c r="H31" s="27"/>
    </x:row>
    <x:row r="32">
      <x:c r="A32" s="28" t="str">
        <x:v>2</x:v>
      </x:c>
      <x:c r="B32" s="28" t="str">
        <x:v>ニュース/決算/セクター材料</x:v>
      </x:c>
      <x:c r="C32" s="27"/>
      <x:c r="D32" s="27"/>
      <x:c r="E32" s="27"/>
      <x:c r="F32" s="27"/>
      <x:c r="G32" s="27"/>
      <x:c r="H32" s="27"/>
    </x:row>
    <x:row r="33">
      <x:c r="A33" s="28" t="str">
        <x:v>3</x:v>
      </x:c>
      <x:c r="B33" s="28" t="str">
        <x:v>100万円前提の投資額と残す現金</x:v>
      </x:c>
      <x:c r="C33" s="27"/>
      <x:c r="D33" s="27"/>
      <x:c r="E33" s="27"/>
      <x:c r="F33" s="27"/>
      <x:c r="G33" s="27"/>
      <x:c r="H33" s="27"/>
    </x:row>
    <x:row r="34">
      <x:c r="A34" s="28" t="str">
        <x:v>4</x:v>
      </x:c>
      <x:c r="B34" s="28" t="str">
        <x:v>損切り/利確シナリオ</x:v>
      </x:c>
      <x:c r="C34" s="27"/>
      <x:c r="D34" s="27"/>
      <x:c r="E34" s="27"/>
      <x:c r="F34" s="27"/>
      <x:c r="G34" s="27"/>
      <x:c r="H34" s="27"/>
    </x:row>
    <x:row r="35">
      <x:c r="A35" s="28" t="str">
        <x:v>5</x:v>
      </x:c>
      <x:c r="B35" s="28" t="str">
        <x:v>買わない条件</x:v>
      </x:c>
      <x:c r="C35" s="27"/>
      <x:c r="D35" s="27"/>
      <x:c r="E35" s="27"/>
      <x:c r="F35" s="27"/>
      <x:c r="G35" s="27"/>
      <x:c r="H35" s="27"/>
    </x:row>
    <x:row r="36">
      <x:c r="A36" s="28" t="str">
        <x:v>6</x:v>
      </x:c>
      <x:c r="B36" s="28" t="str">
        <x:v>次回検索までの監視価格</x:v>
      </x:c>
      <x:c r="C36" s="27"/>
      <x:c r="D36" s="27"/>
      <x:c r="E36" s="27"/>
      <x:c r="F36" s="27"/>
      <x:c r="G36" s="27"/>
      <x:c r="H36" s="27"/>
    </x:row>
    <x:row r="37">
      <x:c r="A37" s="28" t="str">
        <x:v>注意</x:v>
      </x:c>
      <x:c r="B37" s="28" t="str">
        <x:v>このチャット内で完結し、証券会社アプリは補助として扱う</x:v>
      </x:c>
      <x:c r="C37" s="27"/>
      <x:c r="D37" s="27"/>
      <x:c r="E37" s="27"/>
      <x:c r="F37" s="27"/>
      <x:c r="G37" s="27"/>
      <x:c r="H37" s="27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95" hidden="0" customWidth="1"/>
    <x:col min="4" max="4" width="38" hidden="0" customWidth="1"/>
  </x:cols>
  <x:sheetData>
    <x:row r="1">
      <x:c r="A1" s="26" t="str">
        <x:v>AIプロンプト集</x:v>
      </x:c>
      <x:c r="B1" s="26" t="str">
        <x:v>AIプロンプト集</x:v>
      </x:c>
      <x:c r="C1" s="26" t="str">
        <x:v>AIプロンプト集</x:v>
      </x:c>
      <x:c r="D1" s="26" t="str">
        <x:v>AIプロンプト集</x:v>
      </x:c>
    </x:row>
    <x:row r="2">
      <x:c r="A2" s="27"/>
      <x:c r="B2" s="27"/>
      <x:c r="C2" s="27"/>
      <x:c r="D2" s="27"/>
    </x:row>
    <x:row r="3">
      <x:c r="A3" s="31" t="str">
        <x:v>用途</x:v>
      </x:c>
      <x:c r="B3" s="31" t="str">
        <x:v>使うタイミング</x:v>
      </x:c>
      <x:c r="C3" s="31" t="str">
        <x:v>プロンプト</x:v>
      </x:c>
      <x:c r="D3" s="31" t="str">
        <x:v>出力形式</x:v>
      </x:c>
    </x:row>
    <x:row r="4">
      <x:c r="A4" s="28" t="str">
        <x:v>市場環境チェック</x:v>
      </x:c>
      <x:c r="B4" s="28" t="str">
        <x:v>週末</x:v>
      </x:c>
      <x:c r="C4" s="28" t="str">
        <x:v>今週の株式市場を、指数、金利、為替、セクター、リスクイベントに分けて整理してください。売買推奨ではなく、来週のスイング候補を探す前提条件として、強い領域・弱い領域・避けるべき条件を表で出してください。</x:v>
      </x:c>
      <x:c r="D4" s="28" t="str">
        <x:v>強い/弱い/注意/来週の見送り条件</x:v>
      </x:c>
    </x:row>
    <x:row r="5">
      <x:c r="A5" s="28" t="str">
        <x:v>銘柄スクリーニング</x:v>
      </x:c>
      <x:c r="B5" s="28" t="str">
        <x:v>週末</x:v>
      </x:c>
      <x:c r="C5" s="28" t="str">
        <x:v>以下の候補銘柄を、トレンド、出来高、材料、決算、流動性、損切りの置きやすさで採点してください。買い推奨ではなく、模擬運用候補として順位付けし、除外理由を重視してください。</x:v>
      </x:c>
      <x:c r="D5" s="28" t="str">
        <x:v>銘柄別スコア、除外理由、確認すべきデータ</x:v>
      </x:c>
    </x:row>
    <x:row r="6">
      <x:c r="A6" s="28" t="str">
        <x:v>決算・ニュース要約</x:v>
      </x:c>
      <x:c r="B6" s="28" t="str">
        <x:v>候補選定時</x:v>
      </x:c>
      <x:c r="C6" s="28" t="str">
        <x:v>この決算資料またはニュースを、株価に影響し得るポジティブ要因、ネガティブ要因、一過性要因、未確認リスクに分けて要約してください。最後に、価格モメンタムを支持するかを0〜5点で評価してください。</x:v>
      </x:c>
      <x:c r="D6" s="28" t="str">
        <x:v>要因別要約、0〜5点、注意点</x:v>
      </x:c>
    </x:row>
    <x:row r="7">
      <x:c r="A7" s="28" t="str">
        <x:v>売買計画レビュー</x:v>
      </x:c>
      <x:c r="B7" s="28" t="str">
        <x:v>仮想エントリー前</x:v>
      </x:c>
      <x:c r="C7" s="28" t="str">
        <x:v>この模擬取引計画をレビューしてください。エントリー理由、損切り、利確、ポジションサイズ、見送り条件の曖昧さを指摘し、ルール違反があれば明示してください。</x:v>
      </x:c>
      <x:c r="D7" s="28" t="str">
        <x:v>OK/要修正、修正点、見送り条件</x:v>
      </x:c>
    </x:row>
    <x:row r="8">
      <x:c r="A8" s="28" t="str">
        <x:v>週末振り返り</x:v>
      </x:c>
      <x:c r="B8" s="28" t="str">
        <x:v>毎週末</x:v>
      </x:c>
      <x:c r="C8" s="28" t="str">
        <x:v>今週の模擬取引ログをもとに、モデル別の良かった点、悪かった点、ルール逸脱、翌週に残すべきモデルを整理してください。損益よりも再現性と損失管理を重視してください。</x:v>
      </x:c>
      <x:c r="D8" s="28" t="str">
        <x:v>モデル別評価、改善点、翌週の方針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6" t="str">
        <x:v>1ヶ月シミュレーション基本ルール</x:v>
      </x:c>
      <x:c r="B1" s="26" t="str">
        <x:v>1ヶ月シミュレーション基本ルール</x:v>
      </x:c>
      <x:c r="C1" s="26" t="str">
        <x:v>1ヶ月シミュレーション基本ルール</x:v>
      </x:c>
      <x:c r="D1" s="26" t="str">
        <x:v>1ヶ月シミュレーション基本ルール</x:v>
      </x:c>
      <x:c r="E1" s="26" t="str">
        <x:v>1ヶ月シミュレーション基本ルール</x:v>
      </x:c>
      <x:c r="F1" s="26" t="str">
        <x:v>1ヶ月シミュレーション基本ルール</x:v>
      </x:c>
      <x:c r="G1" s="26" t="str">
        <x:v>1ヶ月シミュレーション基本ルール</x:v>
      </x:c>
      <x:c r="H1" s="26" t="str">
        <x:v>1ヶ月シミュレーション基本ルール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34" t="str">
        <x:v>目的</x:v>
      </x:c>
      <x:c r="B3" s="34" t="str">
        <x:v>5つの売買モデルを同じ条件で観察し、1ヶ月後に残すモデルを選ぶ</x:v>
      </x:c>
      <x:c r="C3" s="27"/>
      <x:c r="D3" s="27"/>
      <x:c r="E3" s="27"/>
      <x:c r="F3" s="27"/>
      <x:c r="G3" s="27"/>
      <x:c r="H3" s="27"/>
    </x:row>
    <x:row r="4">
      <x:c r="A4" s="28" t="str">
        <x:v>期間</x:v>
      </x:c>
      <x:c r="B4" s="28" t="str">
        <x:v>2026-06-14開始。4週間の模擬運用を想定</x:v>
      </x:c>
      <x:c r="C4" s="27"/>
      <x:c r="D4" s="27"/>
      <x:c r="E4" s="27"/>
      <x:c r="F4" s="27"/>
      <x:c r="G4" s="27"/>
      <x:c r="H4" s="27"/>
    </x:row>
    <x:row r="5">
      <x:c r="A5" s="28" t="str">
        <x:v>実売買</x:v>
      </x:c>
      <x:c r="B5" s="28" t="str">
        <x:v>原則なし。記録は仮想エントリー／仮想決済として扱う</x:v>
      </x:c>
      <x:c r="C5" s="27"/>
      <x:c r="D5" s="27"/>
      <x:c r="E5" s="27"/>
      <x:c r="F5" s="27"/>
      <x:c r="G5" s="27"/>
      <x:c r="H5" s="27"/>
    </x:row>
    <x:row r="6">
      <x:c r="A6" s="28" t="str">
        <x:v>推奨対象</x:v>
      </x:c>
      <x:c r="B6" s="28" t="str">
        <x:v>まずは流動性の高い日本株・米国株・ETFから選ぶ</x:v>
      </x:c>
      <x:c r="C6" s="27"/>
      <x:c r="D6" s="27"/>
      <x:c r="E6" s="27"/>
      <x:c r="F6" s="27"/>
      <x:c r="G6" s="27"/>
      <x:c r="H6" s="27"/>
    </x:row>
    <x:row r="7">
      <x:c r="A7" s="28" t="str">
        <x:v>1回の最大損失</x:v>
      </x:c>
      <x:c r="B7" s="28" t="str">
        <x:v>総資金の0.5%〜1.0%を上限目安</x:v>
      </x:c>
      <x:c r="C7" s="27"/>
      <x:c r="D7" s="27"/>
      <x:c r="E7" s="27"/>
      <x:c r="F7" s="27"/>
      <x:c r="G7" s="27"/>
      <x:c r="H7" s="27"/>
    </x:row>
    <x:row r="8">
      <x:c r="A8" s="28" t="str">
        <x:v>同時観察数</x:v>
      </x:c>
      <x:c r="B8" s="28" t="str">
        <x:v>各モデル3〜5候補まで</x:v>
      </x:c>
      <x:c r="C8" s="27"/>
      <x:c r="D8" s="27"/>
      <x:c r="E8" s="27"/>
      <x:c r="F8" s="27"/>
      <x:c r="G8" s="27"/>
      <x:c r="H8" s="27"/>
    </x:row>
    <x:row r="9">
      <x:c r="A9" s="28" t="str">
        <x:v>禁止</x:v>
      </x:c>
      <x:c r="B9" s="28" t="str">
        <x:v>損切りなし、ナンピン前提、SNS人気だけの採用、AI丸投げ</x:v>
      </x:c>
      <x:c r="C9" s="27"/>
      <x:c r="D9" s="27"/>
      <x:c r="E9" s="27"/>
      <x:c r="F9" s="27"/>
      <x:c r="G9" s="27"/>
      <x:c r="H9" s="27"/>
    </x:row>
    <x:row r="10">
      <x:c r="A10" s="28" t="str">
        <x:v>週末作業</x:v>
      </x:c>
      <x:c r="B10" s="28" t="str">
        <x:v>候補更新、ルール逸脱確認、翌週の見送り条件を決める</x:v>
      </x:c>
      <x:c r="C10" s="27"/>
      <x:c r="D10" s="27"/>
      <x:c r="E10" s="27"/>
      <x:c r="F10" s="27"/>
      <x:c r="G10" s="27"/>
      <x:c r="H10" s="27"/>
    </x:row>
    <x:row r="11">
      <x:c r="A11" s="28" t="str">
        <x:v>平日作業</x:v>
      </x:c>
      <x:c r="B11" s="28" t="str">
        <x:v>価格・ニュース・損切り条件だけ確認</x:v>
      </x:c>
      <x:c r="C11" s="27"/>
      <x:c r="D11" s="27"/>
      <x:c r="E11" s="27"/>
      <x:c r="F11" s="27"/>
      <x:c r="G11" s="27"/>
      <x:c r="H11" s="27"/>
    </x:row>
    <x:row r="12">
      <x:c r="A12" s="28" t="str">
        <x:v>判断基準</x:v>
      </x:c>
      <x:c r="B12" s="28" t="str">
        <x:v>収益より、損失管理・再現性・自分が運用できるかを重視</x:v>
      </x:c>
      <x:c r="C12" s="27"/>
      <x:c r="D12" s="27"/>
      <x:c r="E12" s="27"/>
      <x:c r="F12" s="27"/>
      <x:c r="G12" s="27"/>
      <x:c r="H12" s="27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45" hidden="0" customWidth="1"/>
  </x:cols>
  <x:sheetData>
    <x:row r="1">
      <x:c r="A1" s="26" t="str">
        <x:v>チェック</x:v>
      </x:c>
      <x:c r="B1" s="26" t="str">
        <x:v>チェック</x:v>
      </x:c>
      <x:c r="C1" s="26" t="str">
        <x:v>チェック</x:v>
      </x:c>
      <x:c r="D1" s="26" t="str">
        <x:v>チェック</x:v>
      </x:c>
      <x:c r="E1" s="26" t="str">
        <x:v>チェック</x:v>
      </x:c>
      <x:c r="F1" s="26" t="str">
        <x:v>チェック</x:v>
      </x:c>
    </x:row>
    <x:row r="2">
      <x:c r="A2" s="27"/>
      <x:c r="B2" s="27"/>
      <x:c r="C2" s="27"/>
      <x:c r="D2" s="27"/>
      <x:c r="E2" s="27"/>
      <x:c r="F2" s="27"/>
    </x:row>
    <x:row r="3">
      <x:c r="A3" s="31" t="str">
        <x:v>項目</x:v>
      </x:c>
      <x:c r="B3" s="31" t="str">
        <x:v>Actual</x:v>
      </x:c>
      <x:c r="C3" s="31" t="str">
        <x:v>Expected</x:v>
      </x:c>
      <x:c r="D3" s="31" t="str">
        <x:v>差分</x:v>
      </x:c>
      <x:c r="E3" s="31" t="str">
        <x:v>Status</x:v>
      </x:c>
      <x:c r="F3" s="31" t="str">
        <x:v>Notes</x:v>
      </x:c>
    </x:row>
    <x:row r="4">
      <x:c r="A4" s="28" t="str">
        <x:v>Model IDが未入力の取引</x:v>
      </x:c>
      <x:c r="B4" s="28" t="n">
        <x:f>COUNTIFS('Trade Log'!D:D,"&lt;&gt;",'Trade Log'!C:C,"")</x:f>
        <x:v>0</x:v>
      </x:c>
      <x:c r="C4" s="28" t="n">
        <x:v>0</x:v>
      </x:c>
      <x:c r="D4" s="28" t="n">
        <x:f>B4-C4</x:f>
        <x:v>0</x:v>
      </x:c>
      <x:c r="E4" s="28" t="str">
        <x:f>IF(D4=0,"OK","要確認")</x:f>
        <x:v>OK</x:v>
      </x:c>
      <x:c r="F4" s="28" t="str">
        <x:v>Trade LogのC列</x:v>
      </x:c>
    </x:row>
    <x:row r="5">
      <x:c r="A5" s="28" t="str">
        <x:v>Entry/Stop入力時の想定損失率</x:v>
      </x:c>
      <x:c r="B5" s="28" t="n">
        <x:f>COUNTIFS('Trade Log'!H:H,"&lt;&gt;",'Trade Log'!I:I,"&lt;&gt;",'Trade Log'!K:K,"")</x:f>
        <x:v>0</x:v>
      </x:c>
      <x:c r="C5" s="28" t="str">
        <x:v>算出</x:v>
      </x:c>
      <x:c r="D5" s="28" t="n">
        <x:f>B5</x:f>
        <x:v>0</x:v>
      </x:c>
      <x:c r="E5" s="28" t="str">
        <x:f>IF(D5=0,"OK","要確認")</x:f>
        <x:v>OK</x:v>
      </x:c>
      <x:c r="F5" s="28" t="str">
        <x:v>K列が空なら未完成</x:v>
      </x:c>
    </x:row>
    <x:row r="6">
      <x:c r="A6" s="28" t="str">
        <x:v>完了取引の損益率</x:v>
      </x:c>
      <x:c r="B6" s="28" t="n">
        <x:f>COUNTIFS('Trade Log'!H:H,"&lt;&gt;",'Trade Log'!M:M,"&lt;&gt;",'Trade Log'!N:N,"")</x:f>
        <x:v>0</x:v>
      </x:c>
      <x:c r="C6" s="28" t="str">
        <x:v>算出</x:v>
      </x:c>
      <x:c r="D6" s="28" t="n">
        <x:f>B6</x:f>
        <x:v>0</x:v>
      </x:c>
      <x:c r="E6" s="28" t="str">
        <x:f>IF(D6=0,"OK","要確認")</x:f>
        <x:v>OK</x:v>
      </x:c>
      <x:c r="F6" s="28" t="str">
        <x:v>N列が空なら未完成</x:v>
      </x:c>
    </x:row>
    <x:row r="7">
      <x:c r="A7" s="28" t="str">
        <x:v>重大なルール逸脱</x:v>
      </x:c>
      <x:c r="B7" s="28" t="n">
        <x:f>COUNTIF('Trade Log'!R:R,"重大")</x:f>
        <x:v>0</x:v>
      </x:c>
      <x:c r="C7" s="28" t="n">
        <x:v>0</x:v>
      </x:c>
      <x:c r="D7" s="28" t="n">
        <x:f>B7-C7</x:f>
        <x:v>0</x:v>
      </x:c>
      <x:c r="E7" s="28" t="str">
        <x:f>IF(D7=0,"OK","要確認")</x:f>
        <x:v>OK</x:v>
      </x:c>
      <x:c r="F7" s="28" t="str">
        <x:v>R列が重大の件数</x:v>
      </x:c>
    </x:row>
    <x:row r="8">
      <x:c r="A8" s="28" t="str">
        <x:v>レビュー週数</x:v>
      </x:c>
      <x:c r="B8" s="28" t="n">
        <x:f>COUNTA('Weekly Review'!A4:A7)</x:f>
        <x:v>4</x:v>
      </x:c>
      <x:c r="C8" s="28" t="n">
        <x:v>4</x:v>
      </x:c>
      <x:c r="D8" s="28" t="n">
        <x:f>B8-C8</x:f>
        <x:v>0</x:v>
      </x:c>
      <x:c r="E8" s="28" t="str">
        <x:f>IF(D8=0,"OK","要確認")</x:f>
        <x:v>OK</x:v>
      </x:c>
      <x:c r="F8" s="28" t="str">
        <x:v>Weekly Reviewは4週分</x:v>
      </x:c>
    </x:row>
  </x:sheetData>
  <x:mergeCells>
    <x:mergeCell ref="A1:F1"/>
  </x:mergeCells>
  <x:pageMargins left="0.7" right="0.7" top="0.75" bottom="0.75" header="0.3" footer="0.3"/>
</x:worksheet>
</file>